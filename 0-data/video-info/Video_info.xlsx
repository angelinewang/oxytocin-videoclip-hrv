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gonca\Dropbox\DPrataLab\1_PROJECTS\BIOSOCIOCOG\Tasks\ISC\"/>
    </mc:Choice>
  </mc:AlternateContent>
  <xr:revisionPtr revIDLastSave="0" documentId="13_ncr:1_{2514BA8B-2F72-44AD-80F0-3E19AE7BE24E}" xr6:coauthVersionLast="47" xr6:coauthVersionMax="47" xr10:uidLastSave="{00000000-0000-0000-0000-000000000000}"/>
  <bookViews>
    <workbookView xWindow="-110" yWindow="-110" windowWidth="22780" windowHeight="14660" activeTab="1" xr2:uid="{00000000-000D-0000-FFFF-FFFF00000000}"/>
  </bookViews>
  <sheets>
    <sheet name="All" sheetId="2" r:id="rId1"/>
    <sheet name="Selected" sheetId="1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1" i="1" l="1"/>
  <c r="G36" i="2"/>
  <c r="H36" i="2"/>
  <c r="F36" i="2"/>
  <c r="G37" i="2"/>
  <c r="H37" i="2"/>
  <c r="F37" i="2"/>
  <c r="G38" i="2"/>
  <c r="H38" i="2"/>
  <c r="F38" i="2"/>
  <c r="G39" i="2"/>
  <c r="H39" i="2"/>
  <c r="F39" i="2"/>
  <c r="G40" i="2"/>
  <c r="H40" i="2"/>
  <c r="F40" i="2"/>
  <c r="G41" i="2"/>
  <c r="H41" i="2"/>
  <c r="F41" i="2"/>
  <c r="G42" i="2"/>
  <c r="H42" i="2"/>
  <c r="F42" i="2"/>
  <c r="G43" i="2"/>
  <c r="H43" i="2"/>
  <c r="F43" i="2"/>
  <c r="G44" i="2"/>
  <c r="H44" i="2"/>
  <c r="F44" i="2"/>
  <c r="G35" i="2"/>
  <c r="H35" i="2"/>
  <c r="F35" i="2"/>
  <c r="G48" i="1"/>
  <c r="H48" i="1"/>
  <c r="G49" i="1"/>
  <c r="H49" i="1"/>
  <c r="G50" i="1"/>
  <c r="H50" i="1"/>
  <c r="G51" i="1"/>
  <c r="H51" i="1"/>
  <c r="G52" i="1"/>
  <c r="H52" i="1"/>
  <c r="F52" i="1"/>
  <c r="F51" i="1"/>
  <c r="F50" i="1"/>
  <c r="F49" i="1"/>
  <c r="F48" i="1"/>
  <c r="N38" i="1"/>
  <c r="N37" i="1"/>
  <c r="N36" i="1"/>
  <c r="N34" i="1"/>
  <c r="N35" i="1"/>
  <c r="N33" i="1"/>
  <c r="N31" i="1"/>
  <c r="N30" i="1"/>
  <c r="N29" i="1"/>
  <c r="N28" i="1"/>
  <c r="N27" i="1"/>
  <c r="N26" i="1"/>
  <c r="N25" i="1"/>
  <c r="N24" i="1"/>
  <c r="N23" i="1"/>
  <c r="N22" i="1"/>
  <c r="N20" i="1"/>
  <c r="N19" i="1"/>
  <c r="N18" i="1"/>
  <c r="N17" i="1"/>
  <c r="N16" i="1"/>
  <c r="N15" i="1"/>
  <c r="N14" i="1"/>
  <c r="N2" i="1"/>
  <c r="G46" i="2"/>
  <c r="H46" i="2"/>
  <c r="F46" i="2"/>
  <c r="G3" i="2"/>
  <c r="H3" i="2"/>
  <c r="F3" i="2"/>
  <c r="G4" i="2"/>
  <c r="H4" i="2"/>
  <c r="F4" i="2"/>
  <c r="G5" i="2"/>
  <c r="H5" i="2"/>
  <c r="F5" i="2"/>
  <c r="I5" i="2"/>
  <c r="G10" i="2"/>
  <c r="H10" i="2"/>
  <c r="I10" i="2"/>
  <c r="G2" i="2"/>
  <c r="H2" i="2"/>
  <c r="I2" i="2"/>
  <c r="G6" i="2"/>
  <c r="H6" i="2"/>
  <c r="F6" i="2"/>
  <c r="I6" i="2"/>
  <c r="G7" i="2"/>
  <c r="H7" i="2"/>
  <c r="I7" i="2"/>
  <c r="G11" i="2"/>
  <c r="H11" i="2"/>
  <c r="F11" i="2"/>
  <c r="I11" i="2"/>
  <c r="G8" i="2"/>
  <c r="H8" i="2"/>
  <c r="I8" i="2"/>
  <c r="I4" i="2"/>
  <c r="I3" i="2"/>
  <c r="G9" i="2"/>
  <c r="H9" i="2"/>
  <c r="I9" i="2"/>
  <c r="G47" i="2"/>
  <c r="H47" i="2"/>
  <c r="F47" i="2"/>
  <c r="G48" i="2"/>
  <c r="H48" i="2"/>
  <c r="F48" i="2"/>
  <c r="G49" i="2"/>
  <c r="H49" i="2"/>
  <c r="F49" i="2"/>
  <c r="G50" i="2"/>
  <c r="H50" i="2"/>
  <c r="F50" i="2"/>
  <c r="G51" i="2"/>
  <c r="H51" i="2"/>
  <c r="F51" i="2"/>
  <c r="G52" i="2"/>
  <c r="H52" i="2"/>
  <c r="F52" i="2"/>
  <c r="G53" i="2"/>
  <c r="H53" i="2"/>
  <c r="F53" i="2"/>
  <c r="G54" i="2"/>
  <c r="H54" i="2"/>
  <c r="F54" i="2"/>
  <c r="G55" i="2"/>
  <c r="H55" i="2"/>
  <c r="F55" i="2"/>
  <c r="G25" i="2"/>
  <c r="H25" i="2"/>
  <c r="F25" i="2"/>
  <c r="G26" i="2"/>
  <c r="H26" i="2"/>
  <c r="F26" i="2"/>
  <c r="G27" i="2"/>
  <c r="H27" i="2"/>
  <c r="F27" i="2"/>
  <c r="G28" i="2"/>
  <c r="H28" i="2"/>
  <c r="F28" i="2"/>
  <c r="G29" i="2"/>
  <c r="H29" i="2"/>
  <c r="F29" i="2"/>
  <c r="G30" i="2"/>
  <c r="H30" i="2"/>
  <c r="F30" i="2"/>
  <c r="G31" i="2"/>
  <c r="H31" i="2"/>
  <c r="F31" i="2"/>
  <c r="G32" i="2"/>
  <c r="H32" i="2"/>
  <c r="F32" i="2"/>
  <c r="G33" i="2"/>
  <c r="H33" i="2"/>
  <c r="F33" i="2"/>
  <c r="G24" i="2"/>
  <c r="H24" i="2"/>
  <c r="F24" i="2"/>
  <c r="G22" i="2"/>
  <c r="H22" i="2"/>
  <c r="F22" i="2"/>
  <c r="G14" i="2"/>
  <c r="H14" i="2"/>
  <c r="F14" i="2"/>
  <c r="G15" i="2"/>
  <c r="H15" i="2"/>
  <c r="F15" i="2"/>
  <c r="G16" i="2"/>
  <c r="H16" i="2"/>
  <c r="F16" i="2"/>
  <c r="G17" i="2"/>
  <c r="H17" i="2"/>
  <c r="F17" i="2"/>
  <c r="G18" i="2"/>
  <c r="H18" i="2"/>
  <c r="F18" i="2"/>
  <c r="G19" i="2"/>
  <c r="H19" i="2"/>
  <c r="F19" i="2"/>
  <c r="G20" i="2"/>
  <c r="H20" i="2"/>
  <c r="F20" i="2"/>
  <c r="G21" i="2"/>
  <c r="H21" i="2"/>
  <c r="F21" i="2"/>
  <c r="G13" i="2"/>
  <c r="H13" i="2"/>
  <c r="F13" i="2"/>
  <c r="I13" i="2"/>
  <c r="I14" i="2"/>
  <c r="I15" i="2"/>
  <c r="I16" i="2"/>
  <c r="I17" i="2"/>
  <c r="I18" i="2"/>
  <c r="I19" i="2"/>
  <c r="I20" i="2"/>
  <c r="I21" i="2"/>
  <c r="I22" i="2"/>
  <c r="I24" i="2"/>
  <c r="I25" i="2"/>
  <c r="I26" i="2"/>
  <c r="I27" i="2"/>
  <c r="I28" i="2"/>
  <c r="I29" i="2"/>
  <c r="I30" i="2"/>
  <c r="I31" i="2"/>
  <c r="I32" i="2"/>
  <c r="I33" i="2"/>
  <c r="I35" i="2"/>
  <c r="I36" i="2"/>
  <c r="I37" i="2"/>
  <c r="I38" i="2"/>
  <c r="I39" i="2"/>
  <c r="I40" i="2"/>
  <c r="I41" i="2"/>
  <c r="I42" i="2"/>
  <c r="I43" i="2"/>
  <c r="I44" i="2"/>
  <c r="I46" i="2"/>
  <c r="I47" i="2"/>
  <c r="I48" i="2"/>
  <c r="I49" i="2"/>
  <c r="I50" i="2"/>
  <c r="I51" i="2"/>
  <c r="I52" i="2"/>
  <c r="I53" i="2"/>
  <c r="I54" i="2"/>
  <c r="I55" i="2"/>
  <c r="F7" i="2"/>
  <c r="F10" i="2"/>
  <c r="F9" i="2"/>
  <c r="F2" i="2"/>
  <c r="F8" i="2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<sst xmlns="http://schemas.openxmlformats.org/spreadsheetml/2006/main" count="161" uniqueCount="59">
  <si>
    <t>Title</t>
  </si>
  <si>
    <t>Code</t>
  </si>
  <si>
    <t>Valence</t>
  </si>
  <si>
    <t>Dominance</t>
  </si>
  <si>
    <t>Arousal</t>
  </si>
  <si>
    <t>Block</t>
  </si>
  <si>
    <t>Legend</t>
  </si>
  <si>
    <t>Texas Chainsaw Massacre: The Beginning</t>
  </si>
  <si>
    <t>1000 - Horror (High Arousal, Low Valence)</t>
  </si>
  <si>
    <t>Midnight Meat Train</t>
  </si>
  <si>
    <t>2000- Erotic couples (High arousal, High valence)</t>
  </si>
  <si>
    <t>Cannibal Holocaust</t>
  </si>
  <si>
    <t>3000 - Social Negative (Low arousal, Low valence)</t>
  </si>
  <si>
    <t>4000 - Social + (Low arousal, High valence)</t>
  </si>
  <si>
    <t>Underworld: Evolution</t>
  </si>
  <si>
    <t>5000 - Scenery</t>
  </si>
  <si>
    <t>9 Songs</t>
  </si>
  <si>
    <t>Diary of a Nymphomaniac</t>
  </si>
  <si>
    <t>Bridge to Tehabithia</t>
  </si>
  <si>
    <t>American Beauty</t>
  </si>
  <si>
    <t>Lie With Me</t>
  </si>
  <si>
    <t>Last Chance Harvey</t>
  </si>
  <si>
    <t>The Rest Stop</t>
  </si>
  <si>
    <t>Disney’s Earth</t>
  </si>
  <si>
    <t>BioSocioCog Order</t>
  </si>
  <si>
    <t>NeuroGenAI Order</t>
  </si>
  <si>
    <t>The Ruins</t>
  </si>
  <si>
    <t>Hostel</t>
  </si>
  <si>
    <t>Hostel 2</t>
  </si>
  <si>
    <t>Rest Stop</t>
  </si>
  <si>
    <t>Killing Me Softly</t>
  </si>
  <si>
    <t>Boogeyman</t>
  </si>
  <si>
    <t>The descent</t>
  </si>
  <si>
    <t>The Pianist</t>
  </si>
  <si>
    <t>Mystic River</t>
  </si>
  <si>
    <t>Boogeyman 2</t>
  </si>
  <si>
    <t>This Girls Life</t>
  </si>
  <si>
    <t>My Best Friend's Girl</t>
  </si>
  <si>
    <t>Good Luck Chuck</t>
  </si>
  <si>
    <t>Ruins</t>
  </si>
  <si>
    <t>Movie</t>
  </si>
  <si>
    <t>Playboy's Clip</t>
  </si>
  <si>
    <t>Kama Sutra: the sensual art of lovemaking</t>
  </si>
  <si>
    <t>Monamour</t>
  </si>
  <si>
    <t>Valence %</t>
  </si>
  <si>
    <t>Arousal %</t>
  </si>
  <si>
    <t>Dominance %</t>
  </si>
  <si>
    <t>MAX Characteritics (Higher is better)</t>
  </si>
  <si>
    <t>Excluded? (Reason)</t>
  </si>
  <si>
    <t>No original clip</t>
  </si>
  <si>
    <t>Nudity</t>
  </si>
  <si>
    <t>Too high</t>
  </si>
  <si>
    <t>Scary</t>
  </si>
  <si>
    <t>Measure</t>
  </si>
  <si>
    <t>High</t>
  </si>
  <si>
    <t>Low</t>
  </si>
  <si>
    <t>Neu</t>
  </si>
  <si>
    <t>Low Val</t>
  </si>
  <si>
    <t>High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</si>
</sst>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808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2" borderId="0" xfId="0" applyFill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0" fillId="6" borderId="9" xfId="0" applyFont="1" applyFill="1" applyBorder="1"/>
    <xf numFmtId="0" fontId="2" fillId="6" borderId="9" xfId="0" applyFont="1" applyFill="1" applyBorder="1"/>
    <xf numFmtId="0" fontId="0" fillId="2" borderId="0" xfId="0" applyFont="1" applyFill="1" applyBorder="1"/>
    <xf numFmtId="0" fontId="2" fillId="2" borderId="0" xfId="0" applyFont="1" applyFill="1" applyBorder="1"/>
    <xf numFmtId="0" fontId="0" fillId="11" borderId="0" xfId="0" applyFill="1"/>
    <xf numFmtId="0" fontId="1" fillId="0" borderId="1" xfId="0" applyFont="1" applyBorder="1" applyAlignment="1">
      <alignment horizontal="center"/>
    </xf>
    <xf numFmtId="0" fontId="0" fillId="6" borderId="7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14" xfId="0" applyFont="1" applyFill="1" applyBorder="1"/>
    <xf numFmtId="0" fontId="0" fillId="3" borderId="14" xfId="0" applyFont="1" applyFill="1" applyBorder="1"/>
    <xf numFmtId="0" fontId="0" fillId="6" borderId="14" xfId="0" applyFont="1" applyFill="1" applyBorder="1"/>
    <xf numFmtId="0" fontId="0" fillId="0" borderId="0" xfId="0" applyFont="1"/>
    <xf numFmtId="0" fontId="0" fillId="6" borderId="18" xfId="0" applyFont="1" applyFill="1" applyBorder="1"/>
    <xf numFmtId="0" fontId="0" fillId="3" borderId="9" xfId="0" applyFont="1" applyFill="1" applyBorder="1"/>
    <xf numFmtId="0" fontId="0" fillId="7" borderId="9" xfId="0" applyFont="1" applyFill="1" applyBorder="1"/>
    <xf numFmtId="0" fontId="0" fillId="8" borderId="9" xfId="0" applyFont="1" applyFill="1" applyBorder="1"/>
    <xf numFmtId="0" fontId="0" fillId="4" borderId="9" xfId="0" applyFont="1" applyFill="1" applyBorder="1"/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9" xfId="0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7" borderId="9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0" fillId="2" borderId="9" xfId="0" applyFont="1" applyFill="1" applyBorder="1"/>
    <xf numFmtId="0" fontId="0" fillId="2" borderId="9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9" xfId="0" applyFont="1" applyFill="1" applyBorder="1"/>
    <xf numFmtId="0" fontId="2" fillId="2" borderId="9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3" borderId="9" xfId="0" applyFont="1" applyFill="1" applyBorder="1"/>
    <xf numFmtId="0" fontId="1" fillId="3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9" xfId="0" applyFont="1" applyFill="1" applyBorder="1"/>
    <xf numFmtId="0" fontId="1" fillId="6" borderId="9" xfId="0" applyFont="1" applyFill="1" applyBorder="1" applyAlignment="1">
      <alignment horizontal="center" vertical="center"/>
    </xf>
    <xf numFmtId="0" fontId="4" fillId="6" borderId="9" xfId="0" applyFont="1" applyFill="1" applyBorder="1"/>
    <xf numFmtId="0" fontId="4" fillId="6" borderId="9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1" fillId="7" borderId="9" xfId="0" applyFont="1" applyFill="1" applyBorder="1"/>
    <xf numFmtId="0" fontId="1" fillId="7" borderId="9" xfId="0" applyFont="1" applyFill="1" applyBorder="1" applyAlignment="1">
      <alignment horizontal="center" vertical="center"/>
    </xf>
    <xf numFmtId="0" fontId="1" fillId="8" borderId="9" xfId="0" applyFont="1" applyFill="1" applyBorder="1"/>
    <xf numFmtId="0" fontId="1" fillId="8" borderId="9" xfId="0" applyFont="1" applyFill="1" applyBorder="1" applyAlignment="1">
      <alignment horizontal="center" vertical="center"/>
    </xf>
    <xf numFmtId="0" fontId="1" fillId="4" borderId="9" xfId="0" applyFont="1" applyFill="1" applyBorder="1"/>
    <xf numFmtId="0" fontId="1" fillId="4" borderId="9" xfId="0" applyFont="1" applyFill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1" fillId="0" borderId="21" xfId="0" applyFont="1" applyBorder="1"/>
    <xf numFmtId="0" fontId="0" fillId="3" borderId="9" xfId="0" applyFont="1" applyFill="1" applyBorder="1" applyAlignment="1">
      <alignment horizontal="right"/>
    </xf>
    <xf numFmtId="0" fontId="0" fillId="6" borderId="9" xfId="0" applyFont="1" applyFill="1" applyBorder="1" applyAlignment="1">
      <alignment horizontal="right"/>
    </xf>
    <xf numFmtId="0" fontId="2" fillId="6" borderId="9" xfId="0" applyFont="1" applyFill="1" applyBorder="1" applyAlignment="1">
      <alignment horizontal="right" vertical="center"/>
    </xf>
    <xf numFmtId="0" fontId="2" fillId="6" borderId="9" xfId="0" applyFont="1" applyFill="1" applyBorder="1" applyAlignment="1">
      <alignment horizontal="right"/>
    </xf>
    <xf numFmtId="0" fontId="0" fillId="9" borderId="9" xfId="0" applyFont="1" applyFill="1" applyBorder="1" applyAlignment="1">
      <alignment horizontal="right" vertical="center"/>
    </xf>
    <xf numFmtId="0" fontId="0" fillId="9" borderId="14" xfId="0" applyFont="1" applyFill="1" applyBorder="1"/>
    <xf numFmtId="0" fontId="0" fillId="13" borderId="14" xfId="0" applyFont="1" applyFill="1" applyBorder="1"/>
    <xf numFmtId="0" fontId="0" fillId="13" borderId="9" xfId="0" applyFont="1" applyFill="1" applyBorder="1" applyAlignment="1">
      <alignment horizontal="right" vertical="center"/>
    </xf>
    <xf numFmtId="0" fontId="0" fillId="13" borderId="15" xfId="0" applyFont="1" applyFill="1" applyBorder="1"/>
    <xf numFmtId="0" fontId="0" fillId="13" borderId="20" xfId="0" applyFont="1" applyFill="1" applyBorder="1" applyAlignment="1">
      <alignment horizontal="right" vertical="center"/>
    </xf>
    <xf numFmtId="0" fontId="0" fillId="13" borderId="20" xfId="0" applyFont="1" applyFill="1" applyBorder="1" applyAlignment="1">
      <alignment horizontal="right"/>
    </xf>
    <xf numFmtId="0" fontId="0" fillId="13" borderId="21" xfId="0" applyFont="1" applyFill="1" applyBorder="1" applyAlignment="1">
      <alignment horizontal="right"/>
    </xf>
    <xf numFmtId="0" fontId="0" fillId="13" borderId="6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14" xfId="0" applyFont="1" applyFill="1" applyBorder="1"/>
    <xf numFmtId="0" fontId="0" fillId="10" borderId="9" xfId="0" applyFont="1" applyFill="1" applyBorder="1" applyAlignment="1">
      <alignment horizontal="right" vertical="center"/>
    </xf>
    <xf numFmtId="0" fontId="0" fillId="13" borderId="7" xfId="0" applyFill="1" applyBorder="1" applyAlignment="1">
      <alignment horizontal="center" vertical="center"/>
    </xf>
    <xf numFmtId="0" fontId="0" fillId="5" borderId="9" xfId="0" applyFill="1" applyBorder="1"/>
    <xf numFmtId="0" fontId="0" fillId="6" borderId="9" xfId="0" applyFill="1" applyBorder="1"/>
    <xf numFmtId="0" fontId="0" fillId="10" borderId="9" xfId="0" applyFill="1" applyBorder="1"/>
    <xf numFmtId="0" fontId="0" fillId="9" borderId="9" xfId="0" applyFill="1" applyBorder="1"/>
    <xf numFmtId="0" fontId="0" fillId="0" borderId="13" xfId="0" applyBorder="1"/>
    <xf numFmtId="0" fontId="0" fillId="5" borderId="19" xfId="0" applyFill="1" applyBorder="1"/>
    <xf numFmtId="0" fontId="0" fillId="0" borderId="14" xfId="0" applyBorder="1"/>
    <xf numFmtId="0" fontId="0" fillId="0" borderId="15" xfId="0" applyBorder="1"/>
    <xf numFmtId="0" fontId="0" fillId="5" borderId="20" xfId="0" applyFill="1" applyBorder="1"/>
    <xf numFmtId="0" fontId="0" fillId="6" borderId="19" xfId="0" applyFill="1" applyBorder="1"/>
    <xf numFmtId="0" fontId="0" fillId="0" borderId="17" xfId="0" applyBorder="1"/>
    <xf numFmtId="0" fontId="0" fillId="0" borderId="18" xfId="0" applyBorder="1"/>
    <xf numFmtId="0" fontId="0" fillId="6" borderId="20" xfId="0" applyFill="1" applyBorder="1"/>
    <xf numFmtId="0" fontId="0" fillId="0" borderId="21" xfId="0" applyBorder="1"/>
    <xf numFmtId="0" fontId="0" fillId="10" borderId="19" xfId="0" applyFill="1" applyBorder="1"/>
    <xf numFmtId="0" fontId="0" fillId="10" borderId="20" xfId="0" applyFill="1" applyBorder="1"/>
    <xf numFmtId="0" fontId="0" fillId="9" borderId="19" xfId="0" applyFill="1" applyBorder="1"/>
    <xf numFmtId="0" fontId="0" fillId="9" borderId="20" xfId="0" applyFill="1" applyBorder="1"/>
    <xf numFmtId="0" fontId="0" fillId="0" borderId="0" xfId="0" applyBorder="1"/>
    <xf numFmtId="0" fontId="0" fillId="2" borderId="0" xfId="0" applyFill="1" applyBorder="1"/>
    <xf numFmtId="0" fontId="1" fillId="0" borderId="25" xfId="0" applyFont="1" applyBorder="1"/>
    <xf numFmtId="0" fontId="1" fillId="0" borderId="16" xfId="0" applyFont="1" applyBorder="1"/>
    <xf numFmtId="0" fontId="1" fillId="0" borderId="26" xfId="0" applyFont="1" applyBorder="1"/>
    <xf numFmtId="0" fontId="0" fillId="3" borderId="13" xfId="0" applyFont="1" applyFill="1" applyBorder="1"/>
    <xf numFmtId="0" fontId="0" fillId="3" borderId="19" xfId="0" applyFont="1" applyFill="1" applyBorder="1" applyAlignment="1">
      <alignment horizontal="right"/>
    </xf>
    <xf numFmtId="0" fontId="0" fillId="5" borderId="19" xfId="0" applyFont="1" applyFill="1" applyBorder="1"/>
    <xf numFmtId="0" fontId="0" fillId="5" borderId="17" xfId="0" applyFont="1" applyFill="1" applyBorder="1"/>
    <xf numFmtId="0" fontId="0" fillId="5" borderId="9" xfId="0" applyFont="1" applyFill="1" applyBorder="1"/>
    <xf numFmtId="0" fontId="0" fillId="5" borderId="18" xfId="0" applyFont="1" applyFill="1" applyBorder="1"/>
    <xf numFmtId="0" fontId="0" fillId="10" borderId="9" xfId="0" applyFont="1" applyFill="1" applyBorder="1"/>
    <xf numFmtId="0" fontId="0" fillId="10" borderId="18" xfId="0" applyFont="1" applyFill="1" applyBorder="1"/>
    <xf numFmtId="0" fontId="0" fillId="9" borderId="9" xfId="0" applyFont="1" applyFill="1" applyBorder="1"/>
    <xf numFmtId="0" fontId="0" fillId="9" borderId="18" xfId="0" applyFont="1" applyFill="1" applyBorder="1"/>
    <xf numFmtId="0" fontId="0" fillId="13" borderId="9" xfId="0" applyFont="1" applyFill="1" applyBorder="1"/>
    <xf numFmtId="0" fontId="0" fillId="13" borderId="18" xfId="0" applyFont="1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/>
    <xf numFmtId="0" fontId="0" fillId="10" borderId="27" xfId="0" applyFill="1" applyBorder="1"/>
    <xf numFmtId="0" fontId="0" fillId="10" borderId="28" xfId="0" applyFill="1" applyBorder="1"/>
    <xf numFmtId="0" fontId="0" fillId="10" borderId="29" xfId="0" applyFill="1" applyBorder="1"/>
    <xf numFmtId="0" fontId="0" fillId="9" borderId="27" xfId="0" applyFill="1" applyBorder="1"/>
    <xf numFmtId="0" fontId="0" fillId="9" borderId="28" xfId="0" applyFill="1" applyBorder="1"/>
    <xf numFmtId="0" fontId="0" fillId="9" borderId="29" xfId="0" applyFill="1" applyBorder="1"/>
    <xf numFmtId="0" fontId="0" fillId="11" borderId="27" xfId="0" applyFill="1" applyBorder="1"/>
    <xf numFmtId="0" fontId="0" fillId="11" borderId="28" xfId="0" applyFill="1" applyBorder="1"/>
    <xf numFmtId="0" fontId="0" fillId="11" borderId="29" xfId="0" applyFill="1" applyBorder="1"/>
    <xf numFmtId="0" fontId="0" fillId="0" borderId="24" xfId="0" applyBorder="1"/>
    <xf numFmtId="0" fontId="1" fillId="0" borderId="30" xfId="0" applyFont="1" applyBorder="1" applyAlignment="1">
      <alignment horizontal="center" vertical="center"/>
    </xf>
    <xf numFmtId="0" fontId="0" fillId="0" borderId="3" xfId="0" applyBorder="1"/>
    <xf numFmtId="0" fontId="1" fillId="0" borderId="2" xfId="0" applyFont="1" applyFill="1" applyBorder="1" applyAlignment="1">
      <alignment horizontal="left" vertical="center"/>
    </xf>
    <xf numFmtId="0" fontId="0" fillId="13" borderId="10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2" borderId="19" xfId="0" applyFont="1" applyFill="1" applyBorder="1"/>
    <xf numFmtId="0" fontId="0" fillId="0" borderId="13" xfId="0" applyFill="1" applyBorder="1"/>
    <xf numFmtId="0" fontId="0" fillId="0" borderId="15" xfId="0" applyFill="1" applyBorder="1"/>
    <xf numFmtId="0" fontId="0" fillId="0" borderId="23" xfId="0" applyFill="1" applyBorder="1"/>
    <xf numFmtId="0" fontId="0" fillId="13" borderId="22" xfId="0" applyFill="1" applyBorder="1"/>
    <xf numFmtId="0" fontId="0" fillId="13" borderId="20" xfId="0" applyFill="1" applyBorder="1"/>
    <xf numFmtId="0" fontId="0" fillId="14" borderId="0" xfId="0" applyFill="1"/>
    <xf numFmtId="0" fontId="0" fillId="15" borderId="0" xfId="0" applyFill="1"/>
    <xf numFmtId="0" fontId="0" fillId="14" borderId="19" xfId="0" applyFill="1" applyBorder="1"/>
    <xf numFmtId="0" fontId="0" fillId="14" borderId="20" xfId="0" applyFill="1" applyBorder="1"/>
    <xf numFmtId="0" fontId="0" fillId="14" borderId="22" xfId="0" applyFill="1" applyBorder="1"/>
    <xf numFmtId="0" fontId="0" fillId="15" borderId="19" xfId="0" applyFill="1" applyBorder="1"/>
    <xf numFmtId="0" fontId="0" fillId="15" borderId="20" xfId="0" applyFill="1" applyBorder="1"/>
    <xf numFmtId="0" fontId="0" fillId="15" borderId="22" xfId="0" applyFill="1" applyBorder="1"/>
    <xf numFmtId="0" fontId="0" fillId="0" borderId="18" xfId="0" applyFont="1" applyBorder="1"/>
    <xf numFmtId="164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12" borderId="0" xfId="0" applyFont="1" applyFill="1" applyAlignment="1">
      <alignment horizontal="center"/>
    </xf>
    <xf numFmtId="0" fontId="0" fillId="0" borderId="11" xfId="0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Valence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Horror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Selected!$F$48</c:f>
              <c:numCache>
                <c:formatCode>General</c:formatCode>
                <c:ptCount val="1"/>
                <c:pt idx="0">
                  <c:v>2.2574999999999998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B-4BA8-B3AE-45950BA412B0}"/>
            </c:ext>
          </c:extLst>
        </c:ser>
        <c:ser>
          <c:idx val="1"/>
          <c:order val="1"/>
          <c:tx>
            <c:v>Erotic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Selected!$F$49</c:f>
              <c:numCache>
                <c:formatCode>General</c:formatCode>
                <c:ptCount val="1"/>
                <c:pt idx="0">
                  <c:v>6.5550000000000006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B-4BA8-B3AE-45950BA412B0}"/>
            </c:ext>
          </c:extLst>
        </c:ser>
        <c:ser>
          <c:idx val="2"/>
          <c:order val="2"/>
          <c:tx>
            <c:v>Social_Neg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Selected!$F$50</c:f>
              <c:numCache>
                <c:formatCode>General</c:formatCode>
                <c:ptCount val="1"/>
                <c:pt idx="0">
                  <c:v>2.8849999999999998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EB-4BA8-B3AE-45950BA412B0}"/>
            </c:ext>
          </c:extLst>
        </c:ser>
        <c:ser>
          <c:idx val="3"/>
          <c:order val="3"/>
          <c:tx>
            <c:v>Social_Pos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Selected!$F$51</c:f>
              <c:numCache>
                <c:formatCode>General</c:formatCode>
                <c:ptCount val="1"/>
                <c:pt idx="0">
                  <c:v>6.6133333333333333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EB-4BA8-B3AE-45950BA412B0}"/>
            </c:ext>
          </c:extLst>
        </c:ser>
        <c:ser>
          <c:idx val="4"/>
          <c:order val="4"/>
          <c:tx>
            <c:v>Neutral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Selected!$F$52</c:f>
              <c:numCache>
                <c:formatCode>General</c:formatCode>
                <c:ptCount val="1"/>
                <c:pt idx="0">
                  <c:v>5.9474999999999998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EB-4BA8-B3AE-45950BA4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30208544"/>
        <c:axId val="-1331111264"/>
      </c:barChart>
      <c:catAx>
        <c:axId val="-133020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1111264"/>
        <c:crosses val="autoZero"/>
        <c:auto val="1"/>
        <c:lblAlgn val="ctr"/>
        <c:lblOffset val="100"/>
        <c:noMultiLvlLbl val="0"/>
      </c:catAx>
      <c:valAx>
        <c:axId val="-133111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02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Arausal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Horror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Selected!$G$48</c:f>
              <c:numCache>
                <c:formatCode>General</c:formatCode>
                <c:ptCount val="1"/>
                <c:pt idx="0">
                  <c:v>6.9725000000000001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6-4911-AAF4-A8D9A5B50C6E}"/>
            </c:ext>
          </c:extLst>
        </c:ser>
        <c:ser>
          <c:idx val="1"/>
          <c:order val="1"/>
          <c:tx>
            <c:v>Erotic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Selected!$G$49</c:f>
              <c:numCache>
                <c:formatCode>General</c:formatCode>
                <c:ptCount val="1"/>
                <c:pt idx="0">
                  <c:v>5.6625000000000005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86-4911-AAF4-A8D9A5B50C6E}"/>
            </c:ext>
          </c:extLst>
        </c:ser>
        <c:ser>
          <c:idx val="2"/>
          <c:order val="2"/>
          <c:tx>
            <c:v>Social_Neg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Selected!$G$50</c:f>
              <c:numCache>
                <c:formatCode>General</c:formatCode>
                <c:ptCount val="1"/>
                <c:pt idx="0">
                  <c:v>3.3325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86-4911-AAF4-A8D9A5B50C6E}"/>
            </c:ext>
          </c:extLst>
        </c:ser>
        <c:ser>
          <c:idx val="3"/>
          <c:order val="3"/>
          <c:tx>
            <c:v>Social_Pos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Selected!$G$51</c:f>
              <c:numCache>
                <c:formatCode>General</c:formatCode>
                <c:ptCount val="1"/>
                <c:pt idx="0">
                  <c:v>3.6933333333333334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86-4911-AAF4-A8D9A5B50C6E}"/>
            </c:ext>
          </c:extLst>
        </c:ser>
        <c:ser>
          <c:idx val="4"/>
          <c:order val="4"/>
          <c:tx>
            <c:v>Neutral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Selected!$G$52</c:f>
              <c:numCache>
                <c:formatCode>General</c:formatCode>
                <c:ptCount val="1"/>
                <c:pt idx="0">
                  <c:v>2.6974999999999998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86-4911-AAF4-A8D9A5B50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44095424"/>
        <c:axId val="-1328530400"/>
      </c:barChart>
      <c:catAx>
        <c:axId val="-1444095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8530400"/>
        <c:crosses val="autoZero"/>
        <c:auto val="1"/>
        <c:lblAlgn val="ctr"/>
        <c:lblOffset val="100"/>
        <c:noMultiLvlLbl val="0"/>
      </c:catAx>
      <c:valAx>
        <c:axId val="-132853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409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Dominance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Horror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Selected!$H$48</c:f>
              <c:numCache>
                <c:formatCode>General</c:formatCode>
                <c:ptCount val="1"/>
                <c:pt idx="0">
                  <c:v>4.9649999999999999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E-475B-9B1A-BED43A2D9790}"/>
            </c:ext>
          </c:extLst>
        </c:ser>
        <c:ser>
          <c:idx val="1"/>
          <c:order val="1"/>
          <c:tx>
            <c:v>Erotic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Selected!$H$49</c:f>
              <c:numCache>
                <c:formatCode>General</c:formatCode>
                <c:ptCount val="1"/>
                <c:pt idx="0">
                  <c:v>3.2625000000000002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E-475B-9B1A-BED43A2D9790}"/>
            </c:ext>
          </c:extLst>
        </c:ser>
        <c:ser>
          <c:idx val="2"/>
          <c:order val="2"/>
          <c:tx>
            <c:v>Social_Neg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Selected!$H$50</c:f>
              <c:numCache>
                <c:formatCode>General</c:formatCode>
                <c:ptCount val="1"/>
                <c:pt idx="0">
                  <c:v>3.1825000000000001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CE-475B-9B1A-BED43A2D9790}"/>
            </c:ext>
          </c:extLst>
        </c:ser>
        <c:ser>
          <c:idx val="3"/>
          <c:order val="3"/>
          <c:tx>
            <c:v>Social_Pos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Selected!$H$51</c:f>
              <c:numCache>
                <c:formatCode>General</c:formatCode>
                <c:ptCount val="1"/>
                <c:pt idx="0">
                  <c:v>2.9833333333333329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CE-475B-9B1A-BED43A2D9790}"/>
            </c:ext>
          </c:extLst>
        </c:ser>
        <c:ser>
          <c:idx val="4"/>
          <c:order val="4"/>
          <c:tx>
            <c:v>Neutral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Selected!$H$52</c:f>
              <c:numCache>
                <c:formatCode>General</c:formatCode>
                <c:ptCount val="1"/>
                <c:pt idx="0">
                  <c:v>2.63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CE-475B-9B1A-BED43A2D9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08528240"/>
        <c:axId val="-1308526464"/>
      </c:barChart>
      <c:catAx>
        <c:axId val="-130852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8526464"/>
        <c:crosses val="autoZero"/>
        <c:auto val="1"/>
        <c:lblAlgn val="ctr"/>
        <c:lblOffset val="100"/>
        <c:noMultiLvlLbl val="0"/>
      </c:catAx>
      <c:valAx>
        <c:axId val="-130852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852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649818</xdr:colOff>
      <xdr:row>53</xdr:row>
      <xdr:rowOff>163690</xdr:rowOff>
    </xdr:from>
    <xdr:to>
      <xdr:col>3</xdr:col>
      <xdr:colOff>567973</xdr:colOff>
      <xdr:row>67</xdr:row>
      <xdr:rowOff>189089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804333</xdr:colOff>
      <xdr:row>53</xdr:row>
      <xdr:rowOff>155223</xdr:rowOff>
    </xdr:from>
    <xdr:to>
      <xdr:col>8</xdr:col>
      <xdr:colOff>1004711</xdr:colOff>
      <xdr:row>67</xdr:row>
      <xdr:rowOff>180622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54</xdr:row>
      <xdr:rowOff>0</xdr:rowOff>
    </xdr:from>
    <xdr:to>
      <xdr:col>14</xdr:col>
      <xdr:colOff>637822</xdr:colOff>
      <xdr:row>68</xdr:row>
      <xdr:rowOff>25399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opLeftCell="A20" workbookViewId="0">
      <selection activeCell="B39" sqref="B39"/>
    </sheetView>
  </sheetViews>
  <sheetFormatPr defaultColWidth="8.81640625" defaultRowHeight="14.5" x14ac:dyDescent="0.35"/>
  <cols>
    <col min="1" max="1" width="38.7265625" customWidth="1"/>
    <col min="2" max="2" width="9.453125" customWidth="1"/>
    <col min="3" max="3" width="12" customWidth="1"/>
    <col min="4" max="5" width="11.453125" customWidth="1"/>
    <col min="6" max="6" width="37.453125" customWidth="1"/>
    <col min="7" max="7" width="15.453125" style="19" customWidth="1"/>
    <col min="8" max="8" width="13.1796875" customWidth="1"/>
    <col min="9" max="9" width="15.26953125" customWidth="1"/>
    <col min="10" max="10" width="26.26953125" customWidth="1"/>
  </cols>
  <sheetData>
    <row r="1" spans="1:10" x14ac:dyDescent="0.35">
      <c r="A1" s="30" t="s">
        <v>40</v>
      </c>
      <c r="B1" s="30" t="s">
        <v>1</v>
      </c>
      <c r="C1" s="31" t="s">
        <v>2</v>
      </c>
      <c r="D1" s="31" t="s">
        <v>4</v>
      </c>
      <c r="E1" s="31" t="s">
        <v>3</v>
      </c>
      <c r="F1" s="39" t="s">
        <v>47</v>
      </c>
      <c r="G1" s="40" t="s">
        <v>44</v>
      </c>
      <c r="H1" s="39" t="s">
        <v>45</v>
      </c>
      <c r="I1" s="39" t="s">
        <v>46</v>
      </c>
      <c r="J1" s="39" t="s">
        <v>48</v>
      </c>
    </row>
    <row r="2" spans="1:10" x14ac:dyDescent="0.35">
      <c r="A2" s="25" t="s">
        <v>26</v>
      </c>
      <c r="B2" s="32">
        <v>1000</v>
      </c>
      <c r="C2">
        <v>2.79</v>
      </c>
      <c r="D2">
        <v>6.43</v>
      </c>
      <c r="E2">
        <v>4.92</v>
      </c>
      <c r="F2" s="29">
        <f t="shared" ref="F2:F11" si="0">((1-G2)+H2)/2</f>
        <v>0.58084536604784121</v>
      </c>
      <c r="G2" s="19">
        <f>(C2-MIN(C2:C11))/(MAX(C2:C11)-MIN(C2:C11))</f>
        <v>0.38797814207650272</v>
      </c>
      <c r="H2" s="19">
        <f>(D2-MIN(D2:D11))/(MAX(D2:D11)-MIN(D2:D11))</f>
        <v>0.54966887417218524</v>
      </c>
      <c r="I2" s="19">
        <f>(E2-MIN(E2:E11))/(MAX(E2:E11)-MIN(E2:E11))</f>
        <v>0.70625000000000004</v>
      </c>
    </row>
    <row r="3" spans="1:10" x14ac:dyDescent="0.35">
      <c r="A3" s="47" t="s">
        <v>7</v>
      </c>
      <c r="B3" s="48">
        <v>1001</v>
      </c>
      <c r="C3" s="3">
        <v>2.11</v>
      </c>
      <c r="D3" s="3">
        <v>6.97</v>
      </c>
      <c r="E3" s="3">
        <v>4.92</v>
      </c>
      <c r="F3" s="31">
        <f t="shared" si="0"/>
        <v>0.94544566279448472</v>
      </c>
      <c r="G3" s="49">
        <f>(C3-MIN(C2:C11))/(MAX(C2:C11)-MIN(C2:C11))</f>
        <v>1.6393442622950713E-2</v>
      </c>
      <c r="H3" s="49">
        <f>(D3-MIN(D2:D11))/(MAX(D2:D11)-MIN(D2:D11))</f>
        <v>0.90728476821192017</v>
      </c>
      <c r="I3" s="49">
        <f>(E3-MIN(E2:E11))/(MAX(E2:E11)-MIN(E2:E11))</f>
        <v>0.70625000000000004</v>
      </c>
    </row>
    <row r="4" spans="1:10" x14ac:dyDescent="0.35">
      <c r="A4" s="47" t="s">
        <v>9</v>
      </c>
      <c r="B4" s="48">
        <v>1002</v>
      </c>
      <c r="C4" s="3">
        <v>2.34</v>
      </c>
      <c r="D4" s="3">
        <v>7.11</v>
      </c>
      <c r="E4" s="3">
        <v>5.39</v>
      </c>
      <c r="F4" s="31">
        <f t="shared" si="0"/>
        <v>0.92896174863387981</v>
      </c>
      <c r="G4" s="49">
        <f>(C4-MIN(C2:C11))/(MAX(C2:C11)-MIN(C2:C11))</f>
        <v>0.14207650273224032</v>
      </c>
      <c r="H4" s="49">
        <f>(D4-MIN(D2:D11))/(MAX(D2:D11)-MIN(D2:D11))</f>
        <v>1</v>
      </c>
      <c r="I4" s="49">
        <f>(E4-MIN(E2:E11))/(MAX(E2:E11)-MIN(E2:E11))</f>
        <v>1</v>
      </c>
    </row>
    <row r="5" spans="1:10" x14ac:dyDescent="0.35">
      <c r="A5" s="25" t="s">
        <v>27</v>
      </c>
      <c r="B5" s="32">
        <v>1003</v>
      </c>
      <c r="C5">
        <v>3.91</v>
      </c>
      <c r="D5">
        <v>5.6</v>
      </c>
      <c r="E5">
        <v>3.79</v>
      </c>
      <c r="F5" s="29">
        <f t="shared" si="0"/>
        <v>0</v>
      </c>
      <c r="G5" s="19">
        <f>(C5-MIN(C2:C11))/(MAX(C2:C11)-MIN(C2:C11))</f>
        <v>1</v>
      </c>
      <c r="H5" s="19">
        <f>(D5-MIN(D2:D11))/(MAX(D2:D11)-MIN(D2:D11))</f>
        <v>0</v>
      </c>
      <c r="I5" s="19">
        <f>(E5-MIN(E2:E11))/(MAX(E2:E11)-MIN(E2:E11))</f>
        <v>0</v>
      </c>
    </row>
    <row r="6" spans="1:10" x14ac:dyDescent="0.35">
      <c r="A6" s="25" t="s">
        <v>28</v>
      </c>
      <c r="B6" s="32">
        <v>1004</v>
      </c>
      <c r="C6">
        <v>2.61</v>
      </c>
      <c r="D6">
        <v>6.29</v>
      </c>
      <c r="E6">
        <v>4.16</v>
      </c>
      <c r="F6" s="29">
        <f t="shared" si="0"/>
        <v>0.58366807802265419</v>
      </c>
      <c r="G6" s="19">
        <f>(C6-MIN(C2:C11))/(MAX(C2:C11)-MIN(C2:C11))</f>
        <v>0.28961748633879769</v>
      </c>
      <c r="H6" s="19">
        <f>(D6-MIN(D2:D11))/(MAX(D2:D11)-MIN(D2:D11))</f>
        <v>0.45695364238410602</v>
      </c>
      <c r="I6" s="19">
        <f>(E6-MIN(E2:E11))/(MAX(E2:E11)-MIN(E2:E11))</f>
        <v>0.23125000000000012</v>
      </c>
    </row>
    <row r="7" spans="1:10" x14ac:dyDescent="0.35">
      <c r="A7" s="25" t="s">
        <v>9</v>
      </c>
      <c r="B7" s="32">
        <v>1005</v>
      </c>
      <c r="C7">
        <v>2.3199999999999998</v>
      </c>
      <c r="D7">
        <v>6.38</v>
      </c>
      <c r="E7">
        <v>3.79</v>
      </c>
      <c r="F7" s="29">
        <f t="shared" si="0"/>
        <v>0.69270437520356098</v>
      </c>
      <c r="G7" s="19">
        <f>(C7-MIN(C2:C11))/(MAX(C2:C11)-MIN(C2:C11))</f>
        <v>0.13114754098360643</v>
      </c>
      <c r="H7" s="19">
        <f>(D7-MIN(D2:D11))/(MAX(D2:D11)-MIN(D2:D11))</f>
        <v>0.51655629139072845</v>
      </c>
      <c r="I7" s="19">
        <f>(E7-MIN(E2:E11))/(MAX(E2:E11)-MIN(E2:E11))</f>
        <v>0</v>
      </c>
    </row>
    <row r="8" spans="1:10" x14ac:dyDescent="0.35">
      <c r="A8" s="47" t="s">
        <v>11</v>
      </c>
      <c r="B8" s="48">
        <v>1006</v>
      </c>
      <c r="C8" s="3">
        <v>2.5</v>
      </c>
      <c r="D8" s="3">
        <v>6.81</v>
      </c>
      <c r="E8" s="3">
        <v>4.84</v>
      </c>
      <c r="F8" s="31">
        <f t="shared" si="0"/>
        <v>0.78590815329497321</v>
      </c>
      <c r="G8" s="49">
        <f>(C8-MIN(C2:C11))/(MAX(C2:C11)-MIN(C2:C11))</f>
        <v>0.22950819672131142</v>
      </c>
      <c r="H8" s="49">
        <f>(D8-MIN(D2:D11))/(MAX(D2:D11)-MIN(D2:D11))</f>
        <v>0.80132450331125793</v>
      </c>
      <c r="I8" s="49">
        <f>(E8-MIN(E2:E11))/(MAX(E2:E11)-MIN(E2:E11))</f>
        <v>0.65625</v>
      </c>
    </row>
    <row r="9" spans="1:10" x14ac:dyDescent="0.35">
      <c r="A9" s="47" t="s">
        <v>7</v>
      </c>
      <c r="B9" s="48">
        <v>1007</v>
      </c>
      <c r="C9" s="3">
        <v>2.08</v>
      </c>
      <c r="D9" s="3">
        <v>7</v>
      </c>
      <c r="E9" s="3">
        <v>4.71</v>
      </c>
      <c r="F9" s="31">
        <f t="shared" si="0"/>
        <v>0.96357615894039728</v>
      </c>
      <c r="G9" s="49">
        <f>(C9-MIN(C2:C11))/(MAX(C2:C11)-MIN(C2:C11))</f>
        <v>0</v>
      </c>
      <c r="H9" s="49">
        <f>(D9-MIN(D2:D11))/(MAX(D2:D11)-MIN(D2:D11))</f>
        <v>0.92715231788079455</v>
      </c>
      <c r="I9" s="49">
        <f>(E9-MIN(E2:E11))/(MAX(E2:E11)-MIN(E2:E11))</f>
        <v>0.57500000000000007</v>
      </c>
    </row>
    <row r="10" spans="1:10" x14ac:dyDescent="0.35">
      <c r="A10" s="25" t="s">
        <v>29</v>
      </c>
      <c r="B10" s="32">
        <v>1008</v>
      </c>
      <c r="C10">
        <v>2.34</v>
      </c>
      <c r="D10">
        <v>6</v>
      </c>
      <c r="E10">
        <v>4.05</v>
      </c>
      <c r="F10" s="29">
        <f t="shared" si="0"/>
        <v>0.56141207975970775</v>
      </c>
      <c r="G10" s="19">
        <f>(C10-MIN(C2:C11))/(MAX(C2:C11)-MIN(C2:C11))</f>
        <v>0.14207650273224032</v>
      </c>
      <c r="H10" s="19">
        <f>(D10-MIN(D2:D11))/(MAX(D2:D11)-MIN(D2:D11))</f>
        <v>0.26490066225165576</v>
      </c>
      <c r="I10" s="19">
        <f>(E10-MIN(E2:E11))/(MAX(E2:E11)-MIN(E2:E11))</f>
        <v>0.16249999999999989</v>
      </c>
    </row>
    <row r="11" spans="1:10" x14ac:dyDescent="0.35">
      <c r="A11" s="25" t="s">
        <v>9</v>
      </c>
      <c r="B11" s="32">
        <v>1009</v>
      </c>
      <c r="C11">
        <v>2.21</v>
      </c>
      <c r="D11">
        <v>6.51</v>
      </c>
      <c r="E11">
        <v>4.5</v>
      </c>
      <c r="F11" s="29">
        <f t="shared" si="0"/>
        <v>0.76580537762819811</v>
      </c>
      <c r="G11" s="19">
        <f>(C11-MIN(C2:C11))/(MAX(C2:C11)-MIN(C2:C11))</f>
        <v>7.1038251366120159E-2</v>
      </c>
      <c r="H11" s="19">
        <f>(D11-MIN(D2:D11))/(MAX(D2:D11)-MIN(D2:D11))</f>
        <v>0.60264900662251641</v>
      </c>
      <c r="I11" s="19">
        <f>(E11-MIN(E2:E11))/(MAX(E2:E11)-MIN(E2:E11))</f>
        <v>0.44375000000000009</v>
      </c>
    </row>
    <row r="12" spans="1:10" x14ac:dyDescent="0.35">
      <c r="A12" s="41"/>
      <c r="B12" s="42"/>
      <c r="C12" s="1"/>
      <c r="D12" s="1"/>
      <c r="E12" s="1"/>
      <c r="F12" s="46"/>
      <c r="G12" s="43"/>
      <c r="H12" s="43"/>
      <c r="I12" s="43"/>
    </row>
    <row r="13" spans="1:10" x14ac:dyDescent="0.35">
      <c r="A13" s="50" t="s">
        <v>14</v>
      </c>
      <c r="B13" s="51">
        <v>2000</v>
      </c>
      <c r="C13" s="3">
        <v>6.61</v>
      </c>
      <c r="D13" s="3">
        <v>5.76</v>
      </c>
      <c r="E13" s="3">
        <v>3.71</v>
      </c>
      <c r="F13" s="31">
        <f>(G13+H13)/2</f>
        <v>0.70564387917329097</v>
      </c>
      <c r="G13" s="49">
        <f>(C13-MIN(C13:C22))/(MAX(C13:C22)-MIN(C13:C22))</f>
        <v>0.50588235294117689</v>
      </c>
      <c r="H13" s="49">
        <f>(D13-MIN(D13:D22))/(MAX(D13:D22)-MIN(D13:D22))</f>
        <v>0.90540540540540504</v>
      </c>
      <c r="I13" s="49">
        <f>(E13-MIN(E13:E22))/(MAX(E13:E22)-MIN(E13:E22))</f>
        <v>0.90804597701149414</v>
      </c>
    </row>
    <row r="14" spans="1:10" x14ac:dyDescent="0.35">
      <c r="A14" s="4" t="s">
        <v>41</v>
      </c>
      <c r="B14" s="33">
        <v>2001</v>
      </c>
      <c r="C14">
        <v>6.46</v>
      </c>
      <c r="D14">
        <v>5.71</v>
      </c>
      <c r="E14">
        <v>3.79</v>
      </c>
      <c r="F14" s="29">
        <f t="shared" ref="F14:F21" si="1">(G14+H14)/2</f>
        <v>0.58362480127186012</v>
      </c>
      <c r="G14" s="19">
        <f>(C14-MIN(C13:C22))/(MAX(C13:C22)-MIN(C13:C22))</f>
        <v>0.32941176470588246</v>
      </c>
      <c r="H14" s="19">
        <f>(D14-MIN(D13:D22))/(MAX(D13:D22)-MIN(D13:D22))</f>
        <v>0.83783783783783772</v>
      </c>
      <c r="I14" s="19">
        <f>(E14-MIN(E13:E22))/(MAX(E13:E22)-MIN(E13:E22))</f>
        <v>1</v>
      </c>
      <c r="J14" t="s">
        <v>49</v>
      </c>
    </row>
    <row r="15" spans="1:10" x14ac:dyDescent="0.35">
      <c r="A15" s="50" t="s">
        <v>16</v>
      </c>
      <c r="B15" s="51">
        <v>2002</v>
      </c>
      <c r="C15" s="3">
        <v>7.03</v>
      </c>
      <c r="D15" s="3">
        <v>5.83</v>
      </c>
      <c r="E15" s="3">
        <v>3.18</v>
      </c>
      <c r="F15" s="31">
        <f t="shared" si="1"/>
        <v>1</v>
      </c>
      <c r="G15" s="49">
        <f>(C15-MIN(C13:C22))/(MAX(C13:C22)-MIN(C13:C22))</f>
        <v>1</v>
      </c>
      <c r="H15" s="49">
        <f>(D15-MIN(D13:D22))/(MAX(D13:D22)-MIN(D13:D22))</f>
        <v>1</v>
      </c>
      <c r="I15" s="49">
        <f>(E15-MIN(E13:E22))/(MAX(E13:E22)-MIN(E13:E22))</f>
        <v>0.29885057471264392</v>
      </c>
      <c r="J15" s="3"/>
    </row>
    <row r="16" spans="1:10" x14ac:dyDescent="0.35">
      <c r="A16" s="52" t="s">
        <v>30</v>
      </c>
      <c r="B16" s="53">
        <v>2003</v>
      </c>
      <c r="C16" s="3">
        <v>6.24</v>
      </c>
      <c r="D16" s="3">
        <v>5.33</v>
      </c>
      <c r="E16" s="3">
        <v>2.92</v>
      </c>
      <c r="F16" s="31">
        <f t="shared" si="1"/>
        <v>0.19745627980922134</v>
      </c>
      <c r="G16" s="49">
        <f>(C16-MIN(C13:C22))/(MAX(C13:C22)-MIN(C13:C22))</f>
        <v>7.0588235294118187E-2</v>
      </c>
      <c r="H16" s="49">
        <f>(D16-MIN(D13:D22))/(MAX(D13:D22)-MIN(D13:D22))</f>
        <v>0.32432432432432451</v>
      </c>
      <c r="I16" s="49">
        <f>(E16-MIN(E13:E22))/(MAX(E13:E22)-MIN(E13:E22))</f>
        <v>0</v>
      </c>
      <c r="J16" s="3"/>
    </row>
    <row r="17" spans="1:10" x14ac:dyDescent="0.35">
      <c r="A17" s="5" t="s">
        <v>42</v>
      </c>
      <c r="B17" s="34">
        <v>2004</v>
      </c>
      <c r="C17">
        <v>6.18</v>
      </c>
      <c r="D17">
        <v>5.53</v>
      </c>
      <c r="E17">
        <v>3.39</v>
      </c>
      <c r="F17" s="29">
        <f t="shared" si="1"/>
        <v>0.29729729729729748</v>
      </c>
      <c r="G17" s="19">
        <f>(C17-MIN(C13:C22))/(MAX(C13:C22)-MIN(C13:C22))</f>
        <v>0</v>
      </c>
      <c r="H17" s="19">
        <f>(D17-MIN(D13:D22))/(MAX(D13:D22)-MIN(D13:D22))</f>
        <v>0.59459459459459496</v>
      </c>
      <c r="I17" s="19">
        <f>(E17-MIN(E13:E22))/(MAX(E13:E22)-MIN(E13:E22))</f>
        <v>0.54022988505747138</v>
      </c>
      <c r="J17" t="s">
        <v>49</v>
      </c>
    </row>
    <row r="18" spans="1:10" x14ac:dyDescent="0.35">
      <c r="A18" s="5" t="s">
        <v>42</v>
      </c>
      <c r="B18" s="34">
        <v>2005</v>
      </c>
      <c r="C18">
        <v>6.37</v>
      </c>
      <c r="D18">
        <v>5.61</v>
      </c>
      <c r="E18">
        <v>3.05</v>
      </c>
      <c r="F18" s="29">
        <f t="shared" si="1"/>
        <v>0.46311605723370464</v>
      </c>
      <c r="G18" s="19">
        <f>(C18-MIN(C13:C22))/(MAX(C13:C22)-MIN(C13:C22))</f>
        <v>0.2235294117647062</v>
      </c>
      <c r="H18" s="19">
        <f>(D18-MIN(D13:D22))/(MAX(D13:D22)-MIN(D13:D22))</f>
        <v>0.70270270270270307</v>
      </c>
      <c r="I18" s="19">
        <f>(E18-MIN(E13:E22))/(MAX(E13:E22)-MIN(E13:E22))</f>
        <v>0.14942528735632171</v>
      </c>
      <c r="J18" t="s">
        <v>49</v>
      </c>
    </row>
    <row r="19" spans="1:10" x14ac:dyDescent="0.35">
      <c r="A19" s="5" t="s">
        <v>16</v>
      </c>
      <c r="B19" s="34">
        <v>2006</v>
      </c>
      <c r="C19">
        <v>6.45</v>
      </c>
      <c r="D19">
        <v>5.49</v>
      </c>
      <c r="E19">
        <v>3.68</v>
      </c>
      <c r="F19" s="29">
        <f t="shared" si="1"/>
        <v>0.42909379968203532</v>
      </c>
      <c r="G19" s="19">
        <f>(C19-MIN(C13:C22))/(MAX(C13:C22)-MIN(C13:C22))</f>
        <v>0.31764705882352978</v>
      </c>
      <c r="H19" s="19">
        <f>(D19-MIN(D13:D22))/(MAX(D13:D22)-MIN(D13:D22))</f>
        <v>0.5405405405405409</v>
      </c>
      <c r="I19" s="19">
        <f>(E19-MIN(E13:E22))/(MAX(E13:E22)-MIN(E13:E22))</f>
        <v>0.87356321839080475</v>
      </c>
      <c r="J19" t="s">
        <v>50</v>
      </c>
    </row>
    <row r="20" spans="1:10" x14ac:dyDescent="0.35">
      <c r="A20" s="5" t="s">
        <v>43</v>
      </c>
      <c r="B20" s="34">
        <v>2007</v>
      </c>
      <c r="C20">
        <v>6.68</v>
      </c>
      <c r="D20">
        <v>5.76</v>
      </c>
      <c r="E20">
        <v>3.5</v>
      </c>
      <c r="F20" s="29">
        <f t="shared" si="1"/>
        <v>0.74682034976152589</v>
      </c>
      <c r="G20" s="19">
        <f>(C20-MIN(C13:C22))/(MAX(C13:C22)-MIN(C13:C22))</f>
        <v>0.58823529411764675</v>
      </c>
      <c r="H20" s="19">
        <f>(D20-MIN(D13:D22))/(MAX(D13:D22)-MIN(D13:D22))</f>
        <v>0.90540540540540504</v>
      </c>
      <c r="I20" s="19">
        <f>(E20-MIN(E13:E22))/(MAX(E13:E22)-MIN(E13:E22))</f>
        <v>0.66666666666666663</v>
      </c>
      <c r="J20" t="s">
        <v>50</v>
      </c>
    </row>
    <row r="21" spans="1:10" x14ac:dyDescent="0.35">
      <c r="A21" s="4" t="s">
        <v>17</v>
      </c>
      <c r="B21" s="33">
        <v>2008</v>
      </c>
      <c r="C21" s="23">
        <v>6.39</v>
      </c>
      <c r="D21" s="23">
        <v>5.09</v>
      </c>
      <c r="E21" s="23">
        <v>2.95</v>
      </c>
      <c r="F21" s="54">
        <f t="shared" si="1"/>
        <v>0.12352941176470579</v>
      </c>
      <c r="G21" s="55">
        <f>(C21-MIN(C13:C22))/(MAX(C13:C22)-MIN(C13:C22))</f>
        <v>0.24705882352941158</v>
      </c>
      <c r="H21" s="55">
        <f>(D21-MIN(D13:D22))/(MAX(D13:D22)-MIN(D13:D22))</f>
        <v>0</v>
      </c>
      <c r="I21" s="55">
        <f>(E21-MIN(E13:E22))/(MAX(E13:E22)-MIN(E13:E22))</f>
        <v>3.4482758620689939E-2</v>
      </c>
      <c r="J21" s="3"/>
    </row>
    <row r="22" spans="1:10" x14ac:dyDescent="0.35">
      <c r="A22" s="52" t="s">
        <v>17</v>
      </c>
      <c r="B22" s="53">
        <v>2009</v>
      </c>
      <c r="C22" s="3">
        <v>6.34</v>
      </c>
      <c r="D22" s="3">
        <v>5.73</v>
      </c>
      <c r="E22" s="3">
        <v>3.24</v>
      </c>
      <c r="F22" s="31">
        <f>(G22+H22)/2</f>
        <v>0.52655007949125621</v>
      </c>
      <c r="G22" s="49">
        <f>(C22-MIN(C13:C22))/(MAX(C13:C22)-MIN(C13:C22))</f>
        <v>0.18823529411764711</v>
      </c>
      <c r="H22" s="49">
        <f>(D22-MIN(D13:D22))/(MAX(D13:D22)-MIN(D13:D22))</f>
        <v>0.86486486486486536</v>
      </c>
      <c r="I22" s="49">
        <f>(E22-MIN(E13:E22))/(MAX(E13:E22)-MIN(E13:E22))</f>
        <v>0.36781609195402326</v>
      </c>
      <c r="J22" s="3"/>
    </row>
    <row r="23" spans="1:10" x14ac:dyDescent="0.35">
      <c r="A23" s="44"/>
      <c r="B23" s="45"/>
      <c r="C23" s="1"/>
      <c r="D23" s="1"/>
      <c r="E23" s="1"/>
      <c r="F23" s="46"/>
      <c r="G23" s="43"/>
      <c r="H23" s="43"/>
      <c r="I23" s="43"/>
    </row>
    <row r="24" spans="1:10" x14ac:dyDescent="0.35">
      <c r="A24" s="26" t="s">
        <v>31</v>
      </c>
      <c r="B24" s="35">
        <v>3000</v>
      </c>
      <c r="C24">
        <v>3.82</v>
      </c>
      <c r="D24">
        <v>3.18</v>
      </c>
      <c r="E24">
        <v>2.87</v>
      </c>
      <c r="F24" s="29">
        <f>((1-G24)+(1-H24))/2</f>
        <v>0.43027317510076124</v>
      </c>
      <c r="G24" s="19">
        <f>(C24-MIN(C24:C33))/(MAX(C24:C33)-MIN(C24:C33))</f>
        <v>0.98181818181818181</v>
      </c>
      <c r="H24" s="19">
        <f>(D24-MIN(D24:D33))/(MAX(D24:D33)-MIN(D24:D33))</f>
        <v>0.15763546798029573</v>
      </c>
      <c r="I24" s="19">
        <f>(E24-MIN(E24:E33))/(MAX(E24:E33)-MIN(E24:E33))</f>
        <v>0.26363636363636367</v>
      </c>
    </row>
    <row r="25" spans="1:10" x14ac:dyDescent="0.35">
      <c r="A25" s="26" t="s">
        <v>32</v>
      </c>
      <c r="B25" s="35">
        <v>3001</v>
      </c>
      <c r="C25">
        <v>3.34</v>
      </c>
      <c r="D25">
        <v>4.8899999999999997</v>
      </c>
      <c r="E25">
        <v>2.58</v>
      </c>
      <c r="F25" s="29">
        <f t="shared" ref="F25:F33" si="2">((1-G25)+(1-H25))/2</f>
        <v>0.22727272727272735</v>
      </c>
      <c r="G25" s="19">
        <f>(C25-MIN(C24:C33))/(MAX(C24:C33)-MIN(C24:C33))</f>
        <v>0.5454545454545453</v>
      </c>
      <c r="H25" s="19">
        <f>(D25-MIN(D24:D33))/(MAX(D24:D33)-MIN(D24:D33))</f>
        <v>1</v>
      </c>
      <c r="I25" s="19">
        <f>(E25-MIN(E24:E33))/(MAX(E24:E33)-MIN(E24:E33))</f>
        <v>0</v>
      </c>
    </row>
    <row r="26" spans="1:10" x14ac:dyDescent="0.35">
      <c r="A26" s="56" t="s">
        <v>33</v>
      </c>
      <c r="B26" s="57">
        <v>3002</v>
      </c>
      <c r="C26" s="3">
        <v>2.74</v>
      </c>
      <c r="D26" s="3">
        <v>3.37</v>
      </c>
      <c r="E26" s="3">
        <v>2.74</v>
      </c>
      <c r="F26" s="31">
        <f t="shared" si="2"/>
        <v>0.87438423645320196</v>
      </c>
      <c r="G26" s="49">
        <f>(C26-MIN(C24:C33))/(MAX(C24:C33)-MIN(C24:C33))</f>
        <v>0</v>
      </c>
      <c r="H26" s="49">
        <f>(D26-MIN(D24:D33))/(MAX(D24:D33)-MIN(D24:D33))</f>
        <v>0.2512315270935962</v>
      </c>
      <c r="I26" s="49">
        <f>(E26-MIN(E24:E33))/(MAX(E24:E33)-MIN(E24:E33))</f>
        <v>0.14545454545454556</v>
      </c>
    </row>
    <row r="27" spans="1:10" x14ac:dyDescent="0.35">
      <c r="A27" s="56" t="s">
        <v>17</v>
      </c>
      <c r="B27" s="57">
        <v>3003</v>
      </c>
      <c r="C27" s="3">
        <v>2.74</v>
      </c>
      <c r="D27" s="3">
        <v>3.68</v>
      </c>
      <c r="E27" s="3">
        <v>3.42</v>
      </c>
      <c r="F27" s="31">
        <f t="shared" si="2"/>
        <v>0.79802955665024622</v>
      </c>
      <c r="G27" s="49">
        <f>(C27-MIN(C24:C33))/(MAX(C24:C33)-MIN(C24:C33))</f>
        <v>0</v>
      </c>
      <c r="H27" s="49">
        <f>(D27-MIN(D24:D33))/(MAX(D24:D33)-MIN(D24:D33))</f>
        <v>0.40394088669950756</v>
      </c>
      <c r="I27" s="49">
        <f>(E27-MIN(E24:E33))/(MAX(E24:E33)-MIN(E24:E33))</f>
        <v>0.76363636363636345</v>
      </c>
    </row>
    <row r="28" spans="1:10" x14ac:dyDescent="0.35">
      <c r="A28" s="56" t="s">
        <v>34</v>
      </c>
      <c r="B28" s="57">
        <v>3004</v>
      </c>
      <c r="C28" s="3">
        <v>3.03</v>
      </c>
      <c r="D28" s="3">
        <v>3.42</v>
      </c>
      <c r="E28" s="3">
        <v>2.89</v>
      </c>
      <c r="F28" s="31">
        <f t="shared" si="2"/>
        <v>0.73025078369905971</v>
      </c>
      <c r="G28" s="49">
        <f>(C28-MIN(C24:C33))/(MAX(C24:C33)-MIN(C24:C33))</f>
        <v>0.26363636363636334</v>
      </c>
      <c r="H28" s="49">
        <f>(D28-MIN(D24:D33))/(MAX(D24:D33)-MIN(D24:D33))</f>
        <v>0.27586206896551729</v>
      </c>
      <c r="I28" s="49">
        <f>(E28-MIN(E24:E33))/(MAX(E24:E33)-MIN(E24:E33))</f>
        <v>0.28181818181818186</v>
      </c>
    </row>
    <row r="29" spans="1:10" x14ac:dyDescent="0.35">
      <c r="A29" s="26" t="s">
        <v>35</v>
      </c>
      <c r="B29" s="35">
        <v>3005</v>
      </c>
      <c r="C29">
        <v>3.84</v>
      </c>
      <c r="D29">
        <v>3.71</v>
      </c>
      <c r="E29">
        <v>3.63</v>
      </c>
      <c r="F29" s="29">
        <f t="shared" si="2"/>
        <v>0.29064039408866993</v>
      </c>
      <c r="G29" s="19">
        <f>(C29-MIN(C24:C33))/(MAX(C24:C33)-MIN(C24:C33))</f>
        <v>1</v>
      </c>
      <c r="H29" s="19">
        <f>(D29-MIN(D24:D33))/(MAX(D24:D33)-MIN(D24:D33))</f>
        <v>0.4187192118226602</v>
      </c>
      <c r="I29" s="19">
        <f>(E29-MIN(E24:E33))/(MAX(E24:E33)-MIN(E24:E33))</f>
        <v>0.95454545454545425</v>
      </c>
    </row>
    <row r="30" spans="1:10" x14ac:dyDescent="0.35">
      <c r="A30" s="26" t="s">
        <v>18</v>
      </c>
      <c r="B30" s="35">
        <v>3006</v>
      </c>
      <c r="C30" s="23">
        <v>3.13</v>
      </c>
      <c r="D30" s="23">
        <v>3.95</v>
      </c>
      <c r="E30" s="23">
        <v>3.26</v>
      </c>
      <c r="F30" s="54">
        <f t="shared" si="2"/>
        <v>0.5542543663233318</v>
      </c>
      <c r="G30" s="55">
        <f>(C30-MIN(C24:C33))/(MAX(C24:C33)-MIN(C24:C33))</f>
        <v>0.35454545454545439</v>
      </c>
      <c r="H30" s="55">
        <f>(D30-MIN(D24:D33))/(MAX(D24:D33)-MIN(D24:D33))</f>
        <v>0.53694581280788201</v>
      </c>
      <c r="I30" s="55">
        <f>(E30-MIN(E24:E33))/(MAX(E24:E33)-MIN(E24:E33))</f>
        <v>0.61818181818181783</v>
      </c>
    </row>
    <row r="31" spans="1:10" x14ac:dyDescent="0.35">
      <c r="A31" s="56" t="s">
        <v>19</v>
      </c>
      <c r="B31" s="57">
        <v>3007</v>
      </c>
      <c r="C31" s="3">
        <v>3.03</v>
      </c>
      <c r="D31" s="3">
        <v>2.86</v>
      </c>
      <c r="E31" s="3">
        <v>3.68</v>
      </c>
      <c r="F31" s="31">
        <f t="shared" si="2"/>
        <v>0.86818181818181839</v>
      </c>
      <c r="G31" s="49">
        <f>(C31-MIN(C24:C33))/(MAX(C24:C33)-MIN(C24:C33))</f>
        <v>0.26363636363636334</v>
      </c>
      <c r="H31" s="49">
        <f>(D31-MIN(D24:D33))/(MAX(D24:D33)-MIN(D24:D33))</f>
        <v>0</v>
      </c>
      <c r="I31" s="49">
        <f>(E31-MIN(E24:E33))/(MAX(E24:E33)-MIN(E24:E33))</f>
        <v>1</v>
      </c>
    </row>
    <row r="32" spans="1:10" x14ac:dyDescent="0.35">
      <c r="A32" s="26" t="s">
        <v>19</v>
      </c>
      <c r="B32" s="35">
        <v>3008</v>
      </c>
      <c r="C32" s="23">
        <v>3.24</v>
      </c>
      <c r="D32" s="23">
        <v>3.47</v>
      </c>
      <c r="E32" s="23">
        <v>3.26</v>
      </c>
      <c r="F32" s="54">
        <f t="shared" si="2"/>
        <v>0.6224809673085534</v>
      </c>
      <c r="G32" s="55">
        <f>(C32-MIN(C24:C33))/(MAX(C24:C33)-MIN(C24:C33))</f>
        <v>0.4545454545454547</v>
      </c>
      <c r="H32" s="55">
        <f>(D32-MIN(D24:D33))/(MAX(D24:D33)-MIN(D24:D33))</f>
        <v>0.30049261083743861</v>
      </c>
      <c r="I32" s="55">
        <f>(E32-MIN(E24:E33))/(MAX(E24:E33)-MIN(E24:E33))</f>
        <v>0.61818181818181783</v>
      </c>
    </row>
    <row r="33" spans="1:10" x14ac:dyDescent="0.35">
      <c r="A33" s="26" t="s">
        <v>34</v>
      </c>
      <c r="B33" s="35">
        <v>3009</v>
      </c>
      <c r="C33">
        <v>3.53</v>
      </c>
      <c r="D33">
        <v>3.51</v>
      </c>
      <c r="E33">
        <v>3.18</v>
      </c>
      <c r="F33" s="29">
        <f t="shared" si="2"/>
        <v>0.48081056874160333</v>
      </c>
      <c r="G33" s="19">
        <f>(C33-MIN(C24:C33))/(MAX(C24:C33)-MIN(C24:C33))</f>
        <v>0.71818181818181803</v>
      </c>
      <c r="H33" s="19">
        <f>(D33-MIN(D24:D33))/(MAX(D24:D33)-MIN(D24:D33))</f>
        <v>0.32019704433497537</v>
      </c>
      <c r="I33" s="19">
        <f>(E33-MIN(E24:E33))/(MAX(E24:E33)-MIN(E24:E33))</f>
        <v>0.54545454545454553</v>
      </c>
    </row>
    <row r="34" spans="1:10" x14ac:dyDescent="0.35">
      <c r="A34" s="41"/>
      <c r="B34" s="42"/>
      <c r="C34" s="1"/>
      <c r="D34" s="1"/>
      <c r="E34" s="1"/>
      <c r="F34" s="46"/>
      <c r="G34" s="43"/>
      <c r="H34" s="43"/>
      <c r="I34" s="43"/>
      <c r="J34" s="1"/>
    </row>
    <row r="35" spans="1:10" x14ac:dyDescent="0.35">
      <c r="A35" s="27" t="s">
        <v>36</v>
      </c>
      <c r="B35" s="36">
        <v>4000</v>
      </c>
      <c r="C35" s="23">
        <v>6.11</v>
      </c>
      <c r="D35" s="23">
        <v>2.4500000000000002</v>
      </c>
      <c r="E35" s="23">
        <v>2.4700000000000002</v>
      </c>
      <c r="F35" s="54">
        <f>(G35+H35)/2</f>
        <v>0.25196850393700798</v>
      </c>
      <c r="G35" s="49">
        <f>(C35-MIN(C35:C44))/(MAX(C35:C44)-MIN(C35:C44))</f>
        <v>0.50393700787401596</v>
      </c>
      <c r="H35" s="49">
        <f>(D35-MIN(D35:D44))/(MAX(D35:D44)-MIN(D35:D44))</f>
        <v>0</v>
      </c>
      <c r="I35" s="49">
        <f>(E35-MIN(E35:E44))/(MAX(E35:E44)-MIN(E35:E44))</f>
        <v>0.21904761904761907</v>
      </c>
    </row>
    <row r="36" spans="1:10" x14ac:dyDescent="0.35">
      <c r="A36" s="58" t="s">
        <v>37</v>
      </c>
      <c r="B36" s="59">
        <v>4001</v>
      </c>
      <c r="C36" s="3">
        <v>6.68</v>
      </c>
      <c r="D36" s="3">
        <v>2.87</v>
      </c>
      <c r="E36" s="3">
        <v>2.4700000000000002</v>
      </c>
      <c r="F36" s="31">
        <f t="shared" ref="F36:F44" si="3">(G36+H36)/2</f>
        <v>0.61186182372364728</v>
      </c>
      <c r="G36" s="49">
        <f>(C36-MIN(C35:C44))/(MAX(C35:C44)-MIN(C35:C44))</f>
        <v>0.95275590551181066</v>
      </c>
      <c r="H36" s="49">
        <f>(D36-MIN(D35:D44))/(MAX(D35:D44)-MIN(D35:D44))</f>
        <v>0.27096774193548384</v>
      </c>
      <c r="I36" s="49">
        <f>(E36-MIN(E35:E44))/(MAX(E35:E44)-MIN(E35:E44))</f>
        <v>0.21904761904761907</v>
      </c>
    </row>
    <row r="37" spans="1:10" x14ac:dyDescent="0.35">
      <c r="A37" s="27" t="s">
        <v>38</v>
      </c>
      <c r="B37" s="36">
        <v>4002</v>
      </c>
      <c r="C37">
        <v>6.11</v>
      </c>
      <c r="D37">
        <v>2.79</v>
      </c>
      <c r="E37">
        <v>2.2400000000000002</v>
      </c>
      <c r="F37" s="54">
        <f t="shared" si="3"/>
        <v>0.36164592329184664</v>
      </c>
      <c r="G37" s="19">
        <f>(C37-MIN(C35:C44))/(MAX(C35:C44)-MIN(C35:C44))</f>
        <v>0.50393700787401596</v>
      </c>
      <c r="H37" s="19">
        <f>(D37-MIN(D35:D44))/(MAX(D35:D44)-MIN(D35:D44))</f>
        <v>0.21935483870967734</v>
      </c>
      <c r="I37" s="19">
        <f>(E37-MIN(E35:E44))/(MAX(E35:E44)-MIN(E35:E44))</f>
        <v>0</v>
      </c>
    </row>
    <row r="38" spans="1:10" x14ac:dyDescent="0.35">
      <c r="A38" s="27" t="s">
        <v>39</v>
      </c>
      <c r="B38" s="36">
        <v>4003</v>
      </c>
      <c r="C38" s="23">
        <v>6.13</v>
      </c>
      <c r="D38" s="23">
        <v>2.74</v>
      </c>
      <c r="E38" s="23">
        <v>2.4700000000000002</v>
      </c>
      <c r="F38" s="54">
        <f t="shared" si="3"/>
        <v>0.35339090678181356</v>
      </c>
      <c r="G38" s="55">
        <f>(C38-MIN(C35:C44))/(MAX(C35:C44)-MIN(C35:C44))</f>
        <v>0.51968503937007871</v>
      </c>
      <c r="H38" s="55">
        <f>(D38-MIN(D35:D44))/(MAX(D35:D44)-MIN(D35:D44))</f>
        <v>0.18709677419354842</v>
      </c>
      <c r="I38" s="55">
        <f>(E38-MIN(E35:E44))/(MAX(E35:E44)-MIN(E35:E44))</f>
        <v>0.21904761904761907</v>
      </c>
    </row>
    <row r="39" spans="1:10" x14ac:dyDescent="0.35">
      <c r="A39" s="58" t="s">
        <v>20</v>
      </c>
      <c r="B39" s="59">
        <v>4004</v>
      </c>
      <c r="C39" s="3">
        <v>6.63</v>
      </c>
      <c r="D39" s="3">
        <v>4</v>
      </c>
      <c r="E39" s="3">
        <v>2.84</v>
      </c>
      <c r="F39" s="31">
        <f t="shared" si="3"/>
        <v>0.95669291338582663</v>
      </c>
      <c r="G39" s="55">
        <f>(C39-MIN(C35:C44))/(MAX(C35:C44)-MIN(C35:C44))</f>
        <v>0.91338582677165336</v>
      </c>
      <c r="H39" s="55">
        <f>(D39-MIN(D35:D44))/(MAX(D35:D44)-MIN(D35:D44))</f>
        <v>1</v>
      </c>
      <c r="I39" s="55">
        <f>(E39-MIN(E35:E44))/(MAX(E35:E44)-MIN(E35:E44))</f>
        <v>0.57142857142857117</v>
      </c>
    </row>
    <row r="40" spans="1:10" x14ac:dyDescent="0.35">
      <c r="A40" s="27" t="s">
        <v>21</v>
      </c>
      <c r="B40" s="36">
        <v>4005</v>
      </c>
      <c r="C40" s="23">
        <v>6.18</v>
      </c>
      <c r="D40" s="23">
        <v>3.21</v>
      </c>
      <c r="E40" s="23">
        <v>3.16</v>
      </c>
      <c r="F40" s="54">
        <f t="shared" si="3"/>
        <v>0.52468884937769866</v>
      </c>
      <c r="G40" s="55">
        <f>(C40-MIN(C35:C44))/(MAX(C35:C44)-MIN(C35:C44))</f>
        <v>0.559055118110236</v>
      </c>
      <c r="H40" s="55">
        <f>(D40-MIN(D35:D44))/(MAX(D35:D44)-MIN(D35:D44))</f>
        <v>0.49032258064516121</v>
      </c>
      <c r="I40" s="55">
        <f>(E40-MIN(E35:E44))/(MAX(E35:E44)-MIN(E35:E44))</f>
        <v>0.8761904761904763</v>
      </c>
    </row>
    <row r="41" spans="1:10" x14ac:dyDescent="0.35">
      <c r="A41" s="58" t="s">
        <v>39</v>
      </c>
      <c r="B41" s="59">
        <v>4006</v>
      </c>
      <c r="C41" s="3">
        <v>6.47</v>
      </c>
      <c r="D41" s="3">
        <v>3.13</v>
      </c>
      <c r="E41" s="3">
        <v>2.87</v>
      </c>
      <c r="F41" s="31">
        <f t="shared" si="3"/>
        <v>0.61305562611125197</v>
      </c>
      <c r="G41" s="49">
        <f>(C41-MIN(C35:C44))/(MAX(C35:C44)-MIN(C35:C44))</f>
        <v>0.78740157480314932</v>
      </c>
      <c r="H41" s="49">
        <f>(D41-MIN(D35:D44))/(MAX(D35:D44)-MIN(D35:D44))</f>
        <v>0.43870967741935468</v>
      </c>
      <c r="I41" s="49">
        <f>(E41-MIN(E35:E44))/(MAX(E35:E44)-MIN(E35:E44))</f>
        <v>0.6</v>
      </c>
    </row>
    <row r="42" spans="1:10" x14ac:dyDescent="0.35">
      <c r="A42" s="27" t="s">
        <v>17</v>
      </c>
      <c r="B42" s="36">
        <v>4007</v>
      </c>
      <c r="C42" s="23">
        <v>6.53</v>
      </c>
      <c r="D42" s="23">
        <v>2.86</v>
      </c>
      <c r="E42" s="23">
        <v>3.29</v>
      </c>
      <c r="F42" s="54">
        <f t="shared" si="3"/>
        <v>0.54958089916179831</v>
      </c>
      <c r="G42" s="49">
        <f>(C42-MIN(C35:C44))/(MAX(C35:C44)-MIN(C35:C44))</f>
        <v>0.83464566929133865</v>
      </c>
      <c r="H42" s="49">
        <f>(D42-MIN(D35:D44))/(MAX(D35:D44)-MIN(D35:D44))</f>
        <v>0.26451612903225791</v>
      </c>
      <c r="I42" s="49">
        <f>(E42-MIN(E35:E44))/(MAX(E35:E44)-MIN(E35:E44))</f>
        <v>1</v>
      </c>
    </row>
    <row r="43" spans="1:10" x14ac:dyDescent="0.35">
      <c r="A43" s="27" t="s">
        <v>17</v>
      </c>
      <c r="B43" s="36">
        <v>4008</v>
      </c>
      <c r="C43">
        <v>5.47</v>
      </c>
      <c r="D43">
        <v>3</v>
      </c>
      <c r="E43">
        <v>2.68</v>
      </c>
      <c r="F43" s="54">
        <f t="shared" si="3"/>
        <v>0.17741935483870963</v>
      </c>
      <c r="G43" s="19">
        <f>(C43-MIN(C35:C44))/(MAX(C35:C44)-MIN(C35:C44))</f>
        <v>0</v>
      </c>
      <c r="H43" s="19">
        <f>(D43-MIN(D35:D44))/(MAX(D35:D44)-MIN(D35:D44))</f>
        <v>0.35483870967741926</v>
      </c>
      <c r="I43" s="19">
        <f>(E43-MIN(E35:E44))/(MAX(E35:E44)-MIN(E35:E44))</f>
        <v>0.41904761904761906</v>
      </c>
    </row>
    <row r="44" spans="1:10" x14ac:dyDescent="0.35">
      <c r="A44" s="58" t="s">
        <v>22</v>
      </c>
      <c r="B44" s="59">
        <v>4009</v>
      </c>
      <c r="C44" s="3">
        <v>6.74</v>
      </c>
      <c r="D44" s="3">
        <v>3.95</v>
      </c>
      <c r="E44" s="3">
        <v>3.24</v>
      </c>
      <c r="F44" s="31">
        <f t="shared" si="3"/>
        <v>0.9838709677419355</v>
      </c>
      <c r="G44" s="55">
        <f>(C44-MIN(C35:C44))/(MAX(C35:C44)-MIN(C35:C44))</f>
        <v>1</v>
      </c>
      <c r="H44" s="55">
        <f>(D44-MIN(D35:D44))/(MAX(D35:D44)-MIN(D35:D44))</f>
        <v>0.96774193548387111</v>
      </c>
      <c r="I44" s="55">
        <f>(E44-MIN(E35:E44))/(MAX(E35:E44)-MIN(E35:E44))</f>
        <v>0.95238095238095255</v>
      </c>
    </row>
    <row r="45" spans="1:10" x14ac:dyDescent="0.35">
      <c r="A45" s="41"/>
      <c r="B45" s="42"/>
      <c r="C45" s="1"/>
      <c r="D45" s="1"/>
      <c r="E45" s="1"/>
      <c r="F45" s="46"/>
      <c r="G45" s="43"/>
      <c r="H45" s="43"/>
      <c r="I45" s="43"/>
      <c r="J45" s="1"/>
    </row>
    <row r="46" spans="1:10" x14ac:dyDescent="0.35">
      <c r="A46" s="60" t="s">
        <v>23</v>
      </c>
      <c r="B46" s="61">
        <v>5000</v>
      </c>
      <c r="C46" s="3">
        <v>6</v>
      </c>
      <c r="D46" s="3">
        <v>2.84</v>
      </c>
      <c r="E46" s="3">
        <v>2.42</v>
      </c>
      <c r="F46" s="31">
        <f>((1-G46)+(1-H46))/2</f>
        <v>0.54660011455691038</v>
      </c>
      <c r="G46" s="49">
        <f>(C46-MIN(C46:C55))/(MAX(C46:C55)-MIN(C46:C55))</f>
        <v>0.52066115702479332</v>
      </c>
      <c r="H46" s="49">
        <f>(D46-MIN(D46:D55))/(MAX(D46:D55)-MIN(D46:D55))</f>
        <v>0.38613861386138593</v>
      </c>
      <c r="I46" s="49">
        <f>(E46-MIN(E46:E55))/(MAX(E46:E55)-MIN(E46:E55))</f>
        <v>5.8394160583941652E-2</v>
      </c>
    </row>
    <row r="47" spans="1:10" x14ac:dyDescent="0.35">
      <c r="A47" s="60" t="s">
        <v>23</v>
      </c>
      <c r="B47" s="61">
        <v>5001</v>
      </c>
      <c r="C47" s="3">
        <v>6.05</v>
      </c>
      <c r="D47" s="3">
        <v>2.87</v>
      </c>
      <c r="E47" s="3">
        <v>2.63</v>
      </c>
      <c r="F47" s="31">
        <f t="shared" ref="F47:F55" si="4">((1-G47)+(1-H47))/2</f>
        <v>0.51108747238360208</v>
      </c>
      <c r="G47" s="49">
        <f>(C47-MIN(C46:C55))/(MAX(C46:C55)-MIN(C46:C55))</f>
        <v>0.56198347107437996</v>
      </c>
      <c r="H47" s="49">
        <f>(D47-MIN(D46:D55))/(MAX(D46:D55)-MIN(D46:D55))</f>
        <v>0.41584158415841588</v>
      </c>
      <c r="I47" s="49">
        <f>(E47-MIN(E46:E55))/(MAX(E46:E55)-MIN(E46:E55))</f>
        <v>0.21167883211678834</v>
      </c>
    </row>
    <row r="48" spans="1:10" x14ac:dyDescent="0.35">
      <c r="A48" s="60" t="s">
        <v>23</v>
      </c>
      <c r="B48" s="61">
        <v>5002</v>
      </c>
      <c r="C48" s="3">
        <v>5.92</v>
      </c>
      <c r="D48" s="3">
        <v>2.4500000000000002</v>
      </c>
      <c r="E48" s="3">
        <v>2.34</v>
      </c>
      <c r="F48" s="31">
        <f t="shared" si="4"/>
        <v>0.77272727272727282</v>
      </c>
      <c r="G48" s="49">
        <f>(C48-MIN(C46:C55))/(MAX(C46:C55)-MIN(C46:C55))</f>
        <v>0.45454545454545442</v>
      </c>
      <c r="H48" s="49">
        <f>(D48-MIN(D46:D55))/(MAX(D46:D55)-MIN(D46:D55))</f>
        <v>0</v>
      </c>
      <c r="I48" s="49">
        <f>(E48-MIN(E46:E55))/(MAX(E46:E55)-MIN(E46:E55))</f>
        <v>0</v>
      </c>
    </row>
    <row r="49" spans="1:10" x14ac:dyDescent="0.35">
      <c r="A49" s="28" t="s">
        <v>23</v>
      </c>
      <c r="B49" s="38">
        <v>5003</v>
      </c>
      <c r="C49">
        <v>6.58</v>
      </c>
      <c r="D49">
        <v>2.65</v>
      </c>
      <c r="E49">
        <v>3.63</v>
      </c>
      <c r="F49" s="29">
        <f t="shared" si="4"/>
        <v>0.40099009900990112</v>
      </c>
      <c r="G49" s="19">
        <f>(C49-MIN(C46:C55))/(MAX(C46:C55)-MIN(C46:C55))</f>
        <v>1</v>
      </c>
      <c r="H49" s="19">
        <f>(D49-MIN(D46:D55))/(MAX(D46:D55)-MIN(D46:D55))</f>
        <v>0.19801980198019781</v>
      </c>
      <c r="I49" s="19">
        <f>(E49-MIN(E46:E55))/(MAX(E46:E55)-MIN(E46:E55))</f>
        <v>0.94160583941605835</v>
      </c>
      <c r="J49" t="s">
        <v>51</v>
      </c>
    </row>
    <row r="50" spans="1:10" x14ac:dyDescent="0.35">
      <c r="A50" s="28" t="s">
        <v>23</v>
      </c>
      <c r="B50" s="37">
        <v>5004</v>
      </c>
      <c r="C50">
        <v>6.47</v>
      </c>
      <c r="D50">
        <v>2.79</v>
      </c>
      <c r="E50">
        <v>3.71</v>
      </c>
      <c r="F50" s="29">
        <f t="shared" si="4"/>
        <v>0.37713771377137734</v>
      </c>
      <c r="G50" s="19">
        <f>(C50-MIN(C46:C55))/(MAX(C46:C55)-MIN(C46:C55))</f>
        <v>0.90909090909090884</v>
      </c>
      <c r="H50" s="19">
        <f>(D50-MIN(D46:D55))/(MAX(D46:D55)-MIN(D46:D55))</f>
        <v>0.33663366336633654</v>
      </c>
      <c r="I50" s="19">
        <f>(E50-MIN(E46:E55))/(MAX(E46:E55)-MIN(E46:E55))</f>
        <v>1</v>
      </c>
    </row>
    <row r="51" spans="1:10" x14ac:dyDescent="0.35">
      <c r="A51" s="28" t="s">
        <v>23</v>
      </c>
      <c r="B51" s="37">
        <v>5005</v>
      </c>
      <c r="C51" s="23">
        <v>5.37</v>
      </c>
      <c r="D51" s="23">
        <v>2.5</v>
      </c>
      <c r="E51" s="23">
        <v>3.39</v>
      </c>
      <c r="F51" s="54">
        <f t="shared" si="4"/>
        <v>0.97524752475247534</v>
      </c>
      <c r="G51" s="55">
        <f>(C51-MIN(C46:C55))/(MAX(C46:C55)-MIN(C46:C55))</f>
        <v>0</v>
      </c>
      <c r="H51" s="55">
        <f>(D51-MIN(D46:D55))/(MAX(D46:D55)-MIN(D46:D55))</f>
        <v>4.9504950495049341E-2</v>
      </c>
      <c r="I51" s="55">
        <f>(E51-MIN(E46:E55))/(MAX(E46:E55)-MIN(E46:E55))</f>
        <v>0.76642335766423375</v>
      </c>
      <c r="J51" t="s">
        <v>52</v>
      </c>
    </row>
    <row r="52" spans="1:10" x14ac:dyDescent="0.35">
      <c r="A52" s="28" t="s">
        <v>23</v>
      </c>
      <c r="B52" s="37">
        <v>5006</v>
      </c>
      <c r="C52" s="23">
        <v>6.26</v>
      </c>
      <c r="D52" s="23">
        <v>2.76</v>
      </c>
      <c r="E52" s="23">
        <v>2.5499999999999998</v>
      </c>
      <c r="F52" s="54">
        <f t="shared" si="4"/>
        <v>0.47876605842402453</v>
      </c>
      <c r="G52" s="55">
        <f>(C52-MIN(C46:C55))/(MAX(C46:C55)-MIN(C46:C55))</f>
        <v>0.7355371900826444</v>
      </c>
      <c r="H52" s="55">
        <f>(D52-MIN(D46:D55))/(MAX(D46:D55)-MIN(D46:D55))</f>
        <v>0.30693069306930659</v>
      </c>
      <c r="I52" s="55">
        <f>(E52-MIN(E46:E55))/(MAX(E46:E55)-MIN(E46:E55))</f>
        <v>0.15328467153284667</v>
      </c>
    </row>
    <row r="53" spans="1:10" x14ac:dyDescent="0.35">
      <c r="A53" s="28" t="s">
        <v>23</v>
      </c>
      <c r="B53" s="38">
        <v>5007</v>
      </c>
      <c r="C53">
        <v>6.55</v>
      </c>
      <c r="D53">
        <v>3.46</v>
      </c>
      <c r="E53">
        <v>3.24</v>
      </c>
      <c r="F53" s="29">
        <f t="shared" si="4"/>
        <v>1.2396694214876158E-2</v>
      </c>
      <c r="G53" s="19">
        <f>(C53-MIN(C46:C55))/(MAX(C46:C55)-MIN(C46:C55))</f>
        <v>0.97520661157024768</v>
      </c>
      <c r="H53" s="19">
        <f>(D53-MIN(D46:D55))/(MAX(D46:D55)-MIN(D46:D55))</f>
        <v>1</v>
      </c>
      <c r="I53" s="19">
        <f>(E53-MIN(E46:E55))/(MAX(E46:E55)-MIN(E46:E55))</f>
        <v>0.65693430656934326</v>
      </c>
      <c r="J53" t="s">
        <v>51</v>
      </c>
    </row>
    <row r="54" spans="1:10" x14ac:dyDescent="0.35">
      <c r="A54" s="60" t="s">
        <v>23</v>
      </c>
      <c r="B54" s="61">
        <v>5008</v>
      </c>
      <c r="C54" s="3">
        <v>5.82</v>
      </c>
      <c r="D54" s="3">
        <v>2.63</v>
      </c>
      <c r="E54" s="3">
        <v>3.13</v>
      </c>
      <c r="F54" s="31">
        <f t="shared" si="4"/>
        <v>0.72494067588577049</v>
      </c>
      <c r="G54" s="49">
        <f>(C54-MIN(C46:C55))/(MAX(C46:C55)-MIN(C46:C55))</f>
        <v>0.37190082644628114</v>
      </c>
      <c r="H54" s="49">
        <f>(D54-MIN(D46:D55))/(MAX(D46:D55)-MIN(D46:D55))</f>
        <v>0.17821782178217799</v>
      </c>
      <c r="I54" s="49">
        <f>(E54-MIN(E46:E55))/(MAX(E46:E55)-MIN(E46:E55))</f>
        <v>0.57664233576642332</v>
      </c>
    </row>
    <row r="55" spans="1:10" x14ac:dyDescent="0.35">
      <c r="A55" s="28" t="s">
        <v>23</v>
      </c>
      <c r="B55" s="37">
        <v>5009</v>
      </c>
      <c r="C55">
        <v>6.24</v>
      </c>
      <c r="D55">
        <v>2.83</v>
      </c>
      <c r="E55">
        <v>3.34</v>
      </c>
      <c r="F55" s="29">
        <f t="shared" si="4"/>
        <v>0.45237705588740684</v>
      </c>
      <c r="G55" s="19">
        <f>(C55-MIN(C46:C55))/(MAX(C46:C55)-MIN(C46:C55))</f>
        <v>0.71900826446281008</v>
      </c>
      <c r="H55" s="19">
        <f>(D55-MIN(D46:D55))/(MAX(D46:D55)-MIN(D46:D55))</f>
        <v>0.37623762376237624</v>
      </c>
      <c r="I55" s="19">
        <f>(E55-MIN(E46:E55))/(MAX(E46:E55)-MIN(E46:E55))</f>
        <v>0.72992700729927007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2"/>
  <sheetViews>
    <sheetView tabSelected="1" zoomScale="115" zoomScaleNormal="115" zoomScalePageLayoutView="110" workbookViewId="0">
      <selection activeCell="H23" sqref="H23"/>
    </sheetView>
  </sheetViews>
  <sheetFormatPr defaultColWidth="8.81640625" defaultRowHeight="14.5" x14ac:dyDescent="0.35"/>
  <cols>
    <col min="1" max="1" width="40.453125" customWidth="1"/>
    <col min="3" max="3" width="11.81640625" customWidth="1"/>
    <col min="4" max="5" width="11.1796875" customWidth="1"/>
    <col min="8" max="9" width="17.453125" customWidth="1"/>
    <col min="10" max="10" width="14.453125" customWidth="1"/>
    <col min="11" max="11" width="14.1796875" customWidth="1"/>
    <col min="12" max="12" width="5.26953125" customWidth="1"/>
    <col min="13" max="13" width="5.7265625" customWidth="1"/>
    <col min="14" max="14" width="12" bestFit="1" customWidth="1"/>
  </cols>
  <sheetData>
    <row r="1" spans="1:14" ht="15" thickBot="1" x14ac:dyDescent="0.4">
      <c r="A1" s="104" t="s">
        <v>0</v>
      </c>
      <c r="B1" s="105" t="s">
        <v>1</v>
      </c>
      <c r="C1" s="105" t="s">
        <v>2</v>
      </c>
      <c r="D1" s="105" t="s">
        <v>4</v>
      </c>
      <c r="E1" s="106" t="s">
        <v>3</v>
      </c>
      <c r="F1" s="1"/>
      <c r="G1" s="9" t="s">
        <v>5</v>
      </c>
      <c r="H1" s="2" t="s">
        <v>24</v>
      </c>
      <c r="I1" s="9" t="s">
        <v>25</v>
      </c>
      <c r="K1" s="134" t="s">
        <v>53</v>
      </c>
      <c r="L1" s="132">
        <v>1</v>
      </c>
      <c r="M1" s="132">
        <v>2</v>
      </c>
      <c r="N1" s="133"/>
    </row>
    <row r="2" spans="1:14" x14ac:dyDescent="0.35">
      <c r="A2" s="107" t="s">
        <v>7</v>
      </c>
      <c r="B2" s="108">
        <v>1001</v>
      </c>
      <c r="C2" s="109">
        <v>2.11</v>
      </c>
      <c r="D2" s="109">
        <v>6.97</v>
      </c>
      <c r="E2" s="110">
        <v>4.92</v>
      </c>
      <c r="F2" s="1">
        <v>4</v>
      </c>
      <c r="G2" s="161">
        <v>1</v>
      </c>
      <c r="H2" s="77">
        <v>5001</v>
      </c>
      <c r="I2" s="135">
        <v>5001</v>
      </c>
      <c r="K2" s="88" t="s">
        <v>2</v>
      </c>
      <c r="L2" s="89"/>
      <c r="M2" s="119"/>
      <c r="N2" s="94">
        <f>_xlfn.T.TEST(C2:C5,C6:C9,2,2)</f>
        <v>7.1750077286424948E-7</v>
      </c>
    </row>
    <row r="3" spans="1:14" x14ac:dyDescent="0.35">
      <c r="A3" s="21" t="s">
        <v>9</v>
      </c>
      <c r="B3" s="65">
        <v>1002</v>
      </c>
      <c r="C3" s="111">
        <v>2.34</v>
      </c>
      <c r="D3" s="111">
        <v>7.11</v>
      </c>
      <c r="E3" s="112">
        <v>5.39</v>
      </c>
      <c r="F3" s="1">
        <v>5</v>
      </c>
      <c r="G3" s="162"/>
      <c r="H3" s="78">
        <v>5002</v>
      </c>
      <c r="I3" s="136">
        <v>5002</v>
      </c>
      <c r="K3" s="90" t="s">
        <v>4</v>
      </c>
      <c r="L3" s="84"/>
      <c r="M3" s="120"/>
      <c r="N3" s="95">
        <f>_xlfn.T.TEST(D2:D5,D6:D9,2,2)</f>
        <v>5.2339930442041036E-5</v>
      </c>
    </row>
    <row r="4" spans="1:14" ht="15" thickBot="1" x14ac:dyDescent="0.4">
      <c r="A4" s="21" t="s">
        <v>11</v>
      </c>
      <c r="B4" s="65">
        <v>1006</v>
      </c>
      <c r="C4" s="111">
        <v>2.5</v>
      </c>
      <c r="D4" s="111">
        <v>6.81</v>
      </c>
      <c r="E4" s="112">
        <v>4.84</v>
      </c>
      <c r="F4" s="1">
        <v>6</v>
      </c>
      <c r="G4" s="165">
        <v>2</v>
      </c>
      <c r="H4" s="10">
        <v>2002</v>
      </c>
      <c r="I4" s="137">
        <v>2002</v>
      </c>
      <c r="K4" s="91" t="s">
        <v>3</v>
      </c>
      <c r="L4" s="92"/>
      <c r="M4" s="121"/>
      <c r="N4" s="97">
        <f>_xlfn.T.TEST(E2:E5,E6:E9,2,2)</f>
        <v>2.5319383917890537E-4</v>
      </c>
    </row>
    <row r="5" spans="1:14" x14ac:dyDescent="0.35">
      <c r="A5" s="21" t="s">
        <v>7</v>
      </c>
      <c r="B5" s="65">
        <v>1007</v>
      </c>
      <c r="C5" s="111">
        <v>2.08</v>
      </c>
      <c r="D5" s="111">
        <v>7</v>
      </c>
      <c r="E5" s="112">
        <v>4.71</v>
      </c>
      <c r="F5" s="1">
        <v>7</v>
      </c>
      <c r="G5" s="162"/>
      <c r="H5" s="11">
        <v>2000</v>
      </c>
      <c r="I5" s="138">
        <v>2000</v>
      </c>
      <c r="K5" s="88" t="s">
        <v>2</v>
      </c>
      <c r="L5" s="89"/>
      <c r="M5" s="122"/>
      <c r="N5" s="94">
        <f>_xlfn.T.TEST(C2:C5,C10:C13,2,2)</f>
        <v>2.9255957435891677E-3</v>
      </c>
    </row>
    <row r="6" spans="1:14" x14ac:dyDescent="0.35">
      <c r="A6" s="22" t="s">
        <v>14</v>
      </c>
      <c r="B6" s="66">
        <v>2000</v>
      </c>
      <c r="C6" s="4">
        <v>6.61</v>
      </c>
      <c r="D6" s="4">
        <v>5.76</v>
      </c>
      <c r="E6" s="24">
        <v>3.71</v>
      </c>
      <c r="F6" s="1">
        <v>8</v>
      </c>
      <c r="G6" s="165">
        <v>3</v>
      </c>
      <c r="H6" s="79">
        <v>3004</v>
      </c>
      <c r="I6" s="139">
        <v>3004</v>
      </c>
      <c r="K6" s="90" t="s">
        <v>4</v>
      </c>
      <c r="L6" s="84"/>
      <c r="M6" s="123"/>
      <c r="N6" s="95">
        <f>_xlfn.T.TEST(D2:D5,D10:D13,2,2)</f>
        <v>1.0268645034895458E-6</v>
      </c>
    </row>
    <row r="7" spans="1:14" ht="15" thickBot="1" x14ac:dyDescent="0.4">
      <c r="A7" s="22" t="s">
        <v>16</v>
      </c>
      <c r="B7" s="66">
        <v>2002</v>
      </c>
      <c r="C7" s="4">
        <v>7.03</v>
      </c>
      <c r="D7" s="4">
        <v>5.83</v>
      </c>
      <c r="E7" s="24">
        <v>3.18</v>
      </c>
      <c r="F7" s="1">
        <v>9</v>
      </c>
      <c r="G7" s="162"/>
      <c r="H7" s="80">
        <v>3003</v>
      </c>
      <c r="I7" s="140">
        <v>3003</v>
      </c>
      <c r="K7" s="91" t="s">
        <v>3</v>
      </c>
      <c r="L7" s="92"/>
      <c r="M7" s="124"/>
      <c r="N7" s="97">
        <f>_xlfn.T.TEST(E2:E5,E10:E13,2,2)</f>
        <v>5.3522174726608062E-4</v>
      </c>
    </row>
    <row r="8" spans="1:14" x14ac:dyDescent="0.35">
      <c r="A8" s="20" t="s">
        <v>30</v>
      </c>
      <c r="B8" s="67">
        <v>2003</v>
      </c>
      <c r="C8" s="4">
        <v>6.24</v>
      </c>
      <c r="D8" s="4">
        <v>5.33</v>
      </c>
      <c r="E8" s="24">
        <v>2.92</v>
      </c>
      <c r="F8" s="1">
        <v>10</v>
      </c>
      <c r="G8" s="165">
        <v>4</v>
      </c>
      <c r="H8" s="12">
        <v>4004</v>
      </c>
      <c r="I8" s="141">
        <v>4004</v>
      </c>
      <c r="K8" s="88" t="s">
        <v>2</v>
      </c>
      <c r="L8" s="89"/>
      <c r="M8" s="125"/>
      <c r="N8" s="94">
        <f>_xlfn.T.TEST(C2:C5,C15:C17,2,2)</f>
        <v>5.3318852043402117E-7</v>
      </c>
    </row>
    <row r="9" spans="1:14" x14ac:dyDescent="0.35">
      <c r="A9" s="20" t="s">
        <v>17</v>
      </c>
      <c r="B9" s="68">
        <v>2009</v>
      </c>
      <c r="C9" s="4">
        <v>6.34</v>
      </c>
      <c r="D9" s="4">
        <v>5.73</v>
      </c>
      <c r="E9" s="24">
        <v>3.24</v>
      </c>
      <c r="F9" s="1">
        <v>11</v>
      </c>
      <c r="G9" s="162"/>
      <c r="H9" s="13">
        <v>4006</v>
      </c>
      <c r="I9" s="142">
        <v>4006</v>
      </c>
      <c r="K9" s="90" t="s">
        <v>4</v>
      </c>
      <c r="L9" s="84"/>
      <c r="M9" s="126"/>
      <c r="N9" s="95">
        <f>_xlfn.T.TEST(D2:D5,D15:D17,2,2)</f>
        <v>4.3426213855934027E-5</v>
      </c>
    </row>
    <row r="10" spans="1:14" ht="15" thickBot="1" x14ac:dyDescent="0.4">
      <c r="A10" s="81" t="s">
        <v>33</v>
      </c>
      <c r="B10" s="82">
        <v>3002</v>
      </c>
      <c r="C10" s="113">
        <v>2.74</v>
      </c>
      <c r="D10" s="113">
        <v>3.37</v>
      </c>
      <c r="E10" s="114">
        <v>2.74</v>
      </c>
      <c r="F10" s="1">
        <v>12</v>
      </c>
      <c r="G10" s="165">
        <v>5</v>
      </c>
      <c r="H10" s="14">
        <v>1002</v>
      </c>
      <c r="I10" s="143">
        <v>5000</v>
      </c>
      <c r="K10" s="91" t="s">
        <v>3</v>
      </c>
      <c r="L10" s="92"/>
      <c r="M10" s="127"/>
      <c r="N10" s="97">
        <f>_xlfn.T.TEST(E2:E5,E15:E17,2,2)</f>
        <v>2.0423429750964176E-4</v>
      </c>
    </row>
    <row r="11" spans="1:14" x14ac:dyDescent="0.35">
      <c r="A11" s="81" t="s">
        <v>17</v>
      </c>
      <c r="B11" s="82">
        <v>3003</v>
      </c>
      <c r="C11" s="113">
        <v>2.74</v>
      </c>
      <c r="D11" s="113">
        <v>3.68</v>
      </c>
      <c r="E11" s="114">
        <v>3.42</v>
      </c>
      <c r="F11" s="1">
        <v>13</v>
      </c>
      <c r="G11" s="162"/>
      <c r="H11" s="15">
        <v>1001</v>
      </c>
      <c r="I11" s="136">
        <v>5008</v>
      </c>
      <c r="K11" s="88" t="s">
        <v>2</v>
      </c>
      <c r="L11" s="89"/>
      <c r="M11" s="128"/>
      <c r="N11" s="94">
        <f>_xlfn.T.TEST(C2:C5,C18:C21,2,2)</f>
        <v>5.0610933503917705E-8</v>
      </c>
    </row>
    <row r="12" spans="1:14" x14ac:dyDescent="0.35">
      <c r="A12" s="81" t="s">
        <v>34</v>
      </c>
      <c r="B12" s="82">
        <v>3004</v>
      </c>
      <c r="C12" s="113">
        <v>3.03</v>
      </c>
      <c r="D12" s="113">
        <v>3.42</v>
      </c>
      <c r="E12" s="114">
        <v>2.89</v>
      </c>
      <c r="F12" s="1">
        <v>14</v>
      </c>
      <c r="G12" s="165">
        <v>6</v>
      </c>
      <c r="H12" s="83">
        <v>5000</v>
      </c>
      <c r="I12" s="139">
        <v>3002</v>
      </c>
      <c r="K12" s="90" t="s">
        <v>4</v>
      </c>
      <c r="L12" s="84"/>
      <c r="M12" s="129"/>
      <c r="N12" s="95">
        <f>_xlfn.T.TEST(D2:D5,D18:D21,2,2)</f>
        <v>2.6868652218121862E-8</v>
      </c>
    </row>
    <row r="13" spans="1:14" ht="15" thickBot="1" x14ac:dyDescent="0.4">
      <c r="A13" s="81" t="s">
        <v>19</v>
      </c>
      <c r="B13" s="82">
        <v>3007</v>
      </c>
      <c r="C13" s="113">
        <v>3.03</v>
      </c>
      <c r="D13" s="113">
        <v>2.86</v>
      </c>
      <c r="E13" s="114">
        <v>3.68</v>
      </c>
      <c r="F13" s="1">
        <v>15</v>
      </c>
      <c r="G13" s="162"/>
      <c r="H13" s="78">
        <v>5008</v>
      </c>
      <c r="I13" s="140">
        <v>3007</v>
      </c>
      <c r="K13" s="91" t="s">
        <v>3</v>
      </c>
      <c r="L13" s="92"/>
      <c r="M13" s="130"/>
      <c r="N13" s="97">
        <f>_xlfn.T.TEST(E2:E5,E18:E21,2,2)</f>
        <v>5.4753755974247715E-5</v>
      </c>
    </row>
    <row r="14" spans="1:14" x14ac:dyDescent="0.35">
      <c r="A14" s="115" t="s">
        <v>20</v>
      </c>
      <c r="B14" s="69">
        <v>4001</v>
      </c>
      <c r="C14" s="115">
        <v>6.68</v>
      </c>
      <c r="D14" s="115">
        <v>2.87</v>
      </c>
      <c r="E14" s="116">
        <v>2.4700000000000002</v>
      </c>
      <c r="F14" s="1">
        <v>16</v>
      </c>
      <c r="G14" s="165">
        <v>7</v>
      </c>
      <c r="H14" s="79">
        <v>3002</v>
      </c>
      <c r="I14" s="137">
        <v>2009</v>
      </c>
      <c r="K14" s="88" t="s">
        <v>2</v>
      </c>
      <c r="L14" s="93"/>
      <c r="M14" s="122"/>
      <c r="N14" s="94">
        <f>_xlfn.T.TEST(C6:C9,C10:C13,2,2)</f>
        <v>1.4712844046269276E-6</v>
      </c>
    </row>
    <row r="15" spans="1:14" x14ac:dyDescent="0.35">
      <c r="A15" s="115" t="s">
        <v>37</v>
      </c>
      <c r="B15" s="69">
        <v>4004</v>
      </c>
      <c r="C15" s="115">
        <v>6.63</v>
      </c>
      <c r="D15" s="115">
        <v>4</v>
      </c>
      <c r="E15" s="116">
        <v>2.84</v>
      </c>
      <c r="F15" s="1">
        <v>17</v>
      </c>
      <c r="G15" s="162"/>
      <c r="H15" s="80">
        <v>3007</v>
      </c>
      <c r="I15" s="138">
        <v>2003</v>
      </c>
      <c r="K15" s="90" t="s">
        <v>4</v>
      </c>
      <c r="L15" s="85"/>
      <c r="M15" s="123"/>
      <c r="N15" s="95">
        <f>_xlfn.T.TEST(D6:D9,D10:D13,2,2)</f>
        <v>2.8022090884902571E-5</v>
      </c>
    </row>
    <row r="16" spans="1:14" ht="15" thickBot="1" x14ac:dyDescent="0.4">
      <c r="A16" s="70" t="s">
        <v>39</v>
      </c>
      <c r="B16" s="69">
        <v>4006</v>
      </c>
      <c r="C16" s="115">
        <v>6.47</v>
      </c>
      <c r="D16" s="115">
        <v>3.13</v>
      </c>
      <c r="E16" s="116">
        <v>2.87</v>
      </c>
      <c r="F16" s="1">
        <v>18</v>
      </c>
      <c r="G16" s="165">
        <v>8</v>
      </c>
      <c r="H16" s="10">
        <v>2009</v>
      </c>
      <c r="I16" s="141">
        <v>4001</v>
      </c>
      <c r="K16" s="91" t="s">
        <v>3</v>
      </c>
      <c r="L16" s="96"/>
      <c r="M16" s="124"/>
      <c r="N16" s="64">
        <f>_xlfn.T.TEST(E6:E9,E10:E13,2,2)</f>
        <v>0.78122384233643427</v>
      </c>
    </row>
    <row r="17" spans="1:15" ht="15" thickBot="1" x14ac:dyDescent="0.4">
      <c r="A17" s="70" t="s">
        <v>22</v>
      </c>
      <c r="B17" s="69">
        <v>4009</v>
      </c>
      <c r="C17" s="115">
        <v>6.74</v>
      </c>
      <c r="D17" s="115">
        <v>3.95</v>
      </c>
      <c r="E17" s="116">
        <v>3.24</v>
      </c>
      <c r="F17" s="1">
        <v>19</v>
      </c>
      <c r="G17" s="162"/>
      <c r="H17" s="11">
        <v>2003</v>
      </c>
      <c r="I17" s="144">
        <v>4009</v>
      </c>
      <c r="K17" s="88" t="s">
        <v>2</v>
      </c>
      <c r="L17" s="93"/>
      <c r="M17" s="125"/>
      <c r="N17" s="62">
        <f>_xlfn.T.TEST(C6:C9,C15:C17,2,2)</f>
        <v>0.80056560472528437</v>
      </c>
    </row>
    <row r="18" spans="1:15" x14ac:dyDescent="0.35">
      <c r="A18" s="71" t="s">
        <v>23</v>
      </c>
      <c r="B18" s="72">
        <v>5000</v>
      </c>
      <c r="C18" s="117">
        <v>6</v>
      </c>
      <c r="D18" s="117">
        <v>2.84</v>
      </c>
      <c r="E18" s="118">
        <v>2.42</v>
      </c>
      <c r="F18" s="1">
        <v>20</v>
      </c>
      <c r="G18" s="165">
        <v>9</v>
      </c>
      <c r="H18" s="14">
        <v>1007</v>
      </c>
      <c r="I18" s="16"/>
      <c r="K18" s="90" t="s">
        <v>4</v>
      </c>
      <c r="L18" s="85"/>
      <c r="M18" s="126"/>
      <c r="N18" s="95">
        <f>_xlfn.T.TEST(D6:D9,D15:D17,2,2)</f>
        <v>7.7290771225706201E-4</v>
      </c>
    </row>
    <row r="19" spans="1:15" ht="15" thickBot="1" x14ac:dyDescent="0.4">
      <c r="A19" s="71" t="s">
        <v>23</v>
      </c>
      <c r="B19" s="72">
        <v>5001</v>
      </c>
      <c r="C19" s="117">
        <v>6.05</v>
      </c>
      <c r="D19" s="117">
        <v>2.87</v>
      </c>
      <c r="E19" s="118">
        <v>2.63</v>
      </c>
      <c r="F19" s="1">
        <v>21</v>
      </c>
      <c r="G19" s="162"/>
      <c r="H19" s="15">
        <v>1006</v>
      </c>
      <c r="I19" s="16"/>
      <c r="K19" s="91" t="s">
        <v>3</v>
      </c>
      <c r="L19" s="96"/>
      <c r="M19" s="127"/>
      <c r="N19" s="64">
        <f>_xlfn.T.TEST(E6:E9,E15:E17,2,2)</f>
        <v>0.26495078250189735</v>
      </c>
    </row>
    <row r="20" spans="1:15" x14ac:dyDescent="0.35">
      <c r="A20" s="71" t="s">
        <v>23</v>
      </c>
      <c r="B20" s="72">
        <v>5002</v>
      </c>
      <c r="C20" s="117">
        <v>5.92</v>
      </c>
      <c r="D20" s="117">
        <v>2.4500000000000002</v>
      </c>
      <c r="E20" s="118">
        <v>2.34</v>
      </c>
      <c r="F20" s="1">
        <v>22</v>
      </c>
      <c r="G20" s="165">
        <v>10</v>
      </c>
      <c r="H20" s="12">
        <v>4001</v>
      </c>
      <c r="I20" s="17"/>
      <c r="K20" s="88" t="s">
        <v>2</v>
      </c>
      <c r="L20" s="93"/>
      <c r="M20" s="128"/>
      <c r="N20" s="94">
        <f>_xlfn.T.TEST(C6:C9,C18:C21,2,2)</f>
        <v>1.6217543805753395E-2</v>
      </c>
    </row>
    <row r="21" spans="1:15" ht="15" thickBot="1" x14ac:dyDescent="0.4">
      <c r="A21" s="73" t="s">
        <v>23</v>
      </c>
      <c r="B21" s="74">
        <v>5008</v>
      </c>
      <c r="C21" s="75">
        <v>5.82</v>
      </c>
      <c r="D21" s="75">
        <v>2.63</v>
      </c>
      <c r="E21" s="76">
        <v>3.13</v>
      </c>
      <c r="F21" s="1">
        <v>23</v>
      </c>
      <c r="G21" s="167"/>
      <c r="H21" s="18">
        <v>4009</v>
      </c>
      <c r="I21" s="19"/>
      <c r="J21" s="160"/>
      <c r="K21" s="90" t="s">
        <v>4</v>
      </c>
      <c r="L21" s="85"/>
      <c r="M21" s="129"/>
      <c r="N21" s="95">
        <f>_xlfn.T.TEST(D6:D9,D18:D21,2,2)</f>
        <v>1.0700479713170717E-6</v>
      </c>
    </row>
    <row r="22" spans="1:15" ht="15" thickBot="1" x14ac:dyDescent="0.4">
      <c r="A22" s="6"/>
      <c r="B22" s="6"/>
      <c r="C22" s="6"/>
      <c r="D22" s="6"/>
      <c r="E22" s="6"/>
      <c r="K22" s="91" t="s">
        <v>3</v>
      </c>
      <c r="L22" s="96"/>
      <c r="M22" s="130"/>
      <c r="N22" s="64">
        <f>_xlfn.T.TEST(E6:E9,E18:E21,2,2)</f>
        <v>3.9955845297408955E-2</v>
      </c>
    </row>
    <row r="23" spans="1:15" x14ac:dyDescent="0.35">
      <c r="A23" s="6"/>
      <c r="B23" s="7"/>
      <c r="C23" s="6"/>
      <c r="D23" s="6"/>
      <c r="E23" s="6"/>
      <c r="K23" s="88" t="s">
        <v>2</v>
      </c>
      <c r="L23" s="98"/>
      <c r="M23" s="125"/>
      <c r="N23" s="94">
        <f>_xlfn.T.TEST(C10:C13,C15:C17,2,2)</f>
        <v>6.1666428682889331E-7</v>
      </c>
    </row>
    <row r="24" spans="1:15" x14ac:dyDescent="0.35">
      <c r="A24" s="3" t="s">
        <v>6</v>
      </c>
      <c r="K24" s="90" t="s">
        <v>4</v>
      </c>
      <c r="L24" s="86"/>
      <c r="M24" s="126"/>
      <c r="N24" s="63">
        <f>_xlfn.T.TEST(D10:D13,D15:D17,2,2)</f>
        <v>0.29867544311782146</v>
      </c>
      <c r="O24" s="1"/>
    </row>
    <row r="25" spans="1:15" ht="15" thickBot="1" x14ac:dyDescent="0.4">
      <c r="A25" s="163" t="s">
        <v>8</v>
      </c>
      <c r="B25" s="163"/>
      <c r="C25" s="163"/>
      <c r="D25" s="163"/>
      <c r="E25" s="163"/>
      <c r="F25" s="151"/>
      <c r="K25" s="91" t="s">
        <v>3</v>
      </c>
      <c r="L25" s="99"/>
      <c r="M25" s="127"/>
      <c r="N25" s="64">
        <f>_xlfn.T.TEST(E10:E13,E15:E17,2,2)</f>
        <v>0.512421996207858</v>
      </c>
      <c r="O25" s="1"/>
    </row>
    <row r="26" spans="1:15" x14ac:dyDescent="0.35">
      <c r="A26" s="164" t="s">
        <v>10</v>
      </c>
      <c r="B26" s="164"/>
      <c r="C26" s="164"/>
      <c r="D26" s="164"/>
      <c r="E26" s="164"/>
      <c r="F26" s="151"/>
      <c r="K26" s="88" t="s">
        <v>2</v>
      </c>
      <c r="L26" s="98"/>
      <c r="M26" s="128"/>
      <c r="N26" s="94">
        <f>_xlfn.T.TEST(C10:C13,C18:C21,2,2)</f>
        <v>6.9721401341630005E-8</v>
      </c>
      <c r="O26" s="1"/>
    </row>
    <row r="27" spans="1:15" x14ac:dyDescent="0.35">
      <c r="A27" s="166" t="s">
        <v>12</v>
      </c>
      <c r="B27" s="166"/>
      <c r="C27" s="166"/>
      <c r="D27" s="166"/>
      <c r="E27" s="166"/>
      <c r="F27" s="152"/>
      <c r="K27" s="90" t="s">
        <v>4</v>
      </c>
      <c r="L27" s="86"/>
      <c r="M27" s="129"/>
      <c r="N27" s="95">
        <f>_xlfn.T.TEST(D10:D13,D18:D21,2,2)</f>
        <v>1.8316447192516551E-2</v>
      </c>
      <c r="O27" s="1"/>
    </row>
    <row r="28" spans="1:15" ht="15" thickBot="1" x14ac:dyDescent="0.4">
      <c r="A28" s="169" t="s">
        <v>13</v>
      </c>
      <c r="B28" s="169"/>
      <c r="C28" s="169"/>
      <c r="D28" s="169"/>
      <c r="E28" s="169"/>
      <c r="F28" s="152"/>
      <c r="K28" s="91" t="s">
        <v>3</v>
      </c>
      <c r="L28" s="99"/>
      <c r="M28" s="130"/>
      <c r="N28" s="64">
        <f>_xlfn.T.TEST(E10:E13,E18:E21,2,2)</f>
        <v>9.9078655970544258E-2</v>
      </c>
      <c r="O28" s="1"/>
    </row>
    <row r="29" spans="1:15" x14ac:dyDescent="0.35">
      <c r="A29" s="168" t="s">
        <v>15</v>
      </c>
      <c r="B29" s="168"/>
      <c r="C29" s="168"/>
      <c r="D29" s="168"/>
      <c r="E29" s="168"/>
      <c r="F29" s="8"/>
      <c r="K29" s="88" t="s">
        <v>2</v>
      </c>
      <c r="L29" s="100"/>
      <c r="M29" s="128"/>
      <c r="N29" s="94">
        <f>_xlfn.T.TEST(C15:C17,C18:C21,2,2)</f>
        <v>6.5679857089209108E-4</v>
      </c>
      <c r="O29" s="1"/>
    </row>
    <row r="30" spans="1:15" x14ac:dyDescent="0.35">
      <c r="K30" s="90" t="s">
        <v>4</v>
      </c>
      <c r="L30" s="87"/>
      <c r="M30" s="129"/>
      <c r="N30" s="159">
        <f>_xlfn.T.TEST(D15:D17,D18:D21,2,2)</f>
        <v>1.281615551837074E-2</v>
      </c>
      <c r="O30" s="1"/>
    </row>
    <row r="31" spans="1:15" ht="15" thickBot="1" x14ac:dyDescent="0.4">
      <c r="K31" s="91" t="s">
        <v>3</v>
      </c>
      <c r="L31" s="101"/>
      <c r="M31" s="130"/>
      <c r="N31" s="64">
        <f>_xlfn.T.TEST(E15:E17,E18:E21,2,2)</f>
        <v>0.19463676574427596</v>
      </c>
      <c r="O31" s="1"/>
    </row>
    <row r="32" spans="1:15" ht="15" thickBot="1" x14ac:dyDescent="0.4">
      <c r="K32" s="102"/>
      <c r="L32" s="103"/>
      <c r="M32" s="103"/>
      <c r="N32" s="102"/>
      <c r="O32" s="1"/>
    </row>
    <row r="33" spans="1:15" x14ac:dyDescent="0.35">
      <c r="J33" s="102"/>
      <c r="K33" s="146" t="s">
        <v>2</v>
      </c>
      <c r="L33" s="153" t="s">
        <v>54</v>
      </c>
      <c r="M33" s="156" t="s">
        <v>55</v>
      </c>
      <c r="N33" s="94">
        <f>_xlfn.T.TEST(B36:B43,C36:C43,2,2)</f>
        <v>1.1794037460061793E-12</v>
      </c>
      <c r="O33" s="102"/>
    </row>
    <row r="34" spans="1:15" ht="15" thickBot="1" x14ac:dyDescent="0.4">
      <c r="J34" s="102"/>
      <c r="K34" s="147" t="s">
        <v>4</v>
      </c>
      <c r="L34" s="154" t="s">
        <v>54</v>
      </c>
      <c r="M34" s="157" t="s">
        <v>55</v>
      </c>
      <c r="N34" s="97">
        <f>_xlfn.T.TEST(D2:D9,D10:D17,2,2)</f>
        <v>1.3380103319444815E-7</v>
      </c>
      <c r="O34" s="102"/>
    </row>
    <row r="35" spans="1:15" ht="15" thickBot="1" x14ac:dyDescent="0.4">
      <c r="B35" t="s">
        <v>57</v>
      </c>
      <c r="C35" t="s">
        <v>58</v>
      </c>
      <c r="J35" s="102"/>
      <c r="K35" s="148" t="s">
        <v>2</v>
      </c>
      <c r="L35" s="155" t="s">
        <v>54</v>
      </c>
      <c r="M35" s="149" t="s">
        <v>56</v>
      </c>
      <c r="N35" s="131">
        <f>_xlfn.T.TEST(C36:C43,C18:C21,2,2)</f>
        <v>4.2240162027363136E-3</v>
      </c>
      <c r="O35" s="102"/>
    </row>
    <row r="36" spans="1:15" ht="15" thickBot="1" x14ac:dyDescent="0.4">
      <c r="B36" s="145">
        <v>2.11</v>
      </c>
      <c r="C36" s="41">
        <v>6.61</v>
      </c>
      <c r="J36" s="102"/>
      <c r="K36" s="147" t="s">
        <v>4</v>
      </c>
      <c r="L36" s="154" t="s">
        <v>54</v>
      </c>
      <c r="M36" s="150" t="s">
        <v>56</v>
      </c>
      <c r="N36" s="97">
        <f>_xlfn.T.TEST(D18:D21,D2:D9,2,2)</f>
        <v>2.1858685440791573E-6</v>
      </c>
      <c r="O36" s="102"/>
    </row>
    <row r="37" spans="1:15" x14ac:dyDescent="0.35">
      <c r="B37" s="41">
        <v>2.34</v>
      </c>
      <c r="C37" s="41">
        <v>7.03</v>
      </c>
      <c r="K37" s="148" t="s">
        <v>2</v>
      </c>
      <c r="L37" s="158" t="s">
        <v>55</v>
      </c>
      <c r="M37" s="149" t="s">
        <v>56</v>
      </c>
      <c r="N37" s="131">
        <f>_xlfn.T.TEST(B36:B43,C18:C21,2,2)</f>
        <v>9.0318520715191328E-9</v>
      </c>
    </row>
    <row r="38" spans="1:15" ht="15" thickBot="1" x14ac:dyDescent="0.4">
      <c r="B38" s="41">
        <v>2.5</v>
      </c>
      <c r="C38" s="41">
        <v>6.24</v>
      </c>
      <c r="K38" s="147" t="s">
        <v>4</v>
      </c>
      <c r="L38" s="157" t="s">
        <v>55</v>
      </c>
      <c r="M38" s="150" t="s">
        <v>56</v>
      </c>
      <c r="N38" s="64">
        <f>_xlfn.T.TEST(D10:D17,D18:D21,2,2)</f>
        <v>1.3309756193449998E-2</v>
      </c>
    </row>
    <row r="39" spans="1:15" x14ac:dyDescent="0.35">
      <c r="B39" s="41">
        <v>2.08</v>
      </c>
      <c r="C39" s="41">
        <v>6.34</v>
      </c>
    </row>
    <row r="40" spans="1:15" x14ac:dyDescent="0.35">
      <c r="B40" s="41">
        <v>2.74</v>
      </c>
      <c r="C40" s="41">
        <v>6.11</v>
      </c>
    </row>
    <row r="41" spans="1:15" x14ac:dyDescent="0.35">
      <c r="B41" s="41">
        <v>2.74</v>
      </c>
      <c r="C41" s="41">
        <v>6.68</v>
      </c>
    </row>
    <row r="42" spans="1:15" x14ac:dyDescent="0.35">
      <c r="B42" s="41">
        <v>3.03</v>
      </c>
      <c r="C42" s="41">
        <v>6.47</v>
      </c>
    </row>
    <row r="43" spans="1:15" x14ac:dyDescent="0.35">
      <c r="B43" s="41">
        <v>3.03</v>
      </c>
      <c r="C43" s="41">
        <v>6.53</v>
      </c>
    </row>
    <row r="46" spans="1:15" ht="15" thickBot="1" x14ac:dyDescent="0.4"/>
    <row r="47" spans="1:15" x14ac:dyDescent="0.35">
      <c r="F47" s="105" t="s">
        <v>2</v>
      </c>
      <c r="G47" s="105" t="s">
        <v>4</v>
      </c>
      <c r="H47" s="106" t="s">
        <v>3</v>
      </c>
    </row>
    <row r="48" spans="1:15" x14ac:dyDescent="0.35">
      <c r="A48" s="163" t="s">
        <v>8</v>
      </c>
      <c r="B48" s="163"/>
      <c r="C48" s="163"/>
      <c r="D48" s="163"/>
      <c r="E48" s="163"/>
      <c r="F48">
        <f>AVERAGE(C2:C5)</f>
        <v>2.2574999999999998</v>
      </c>
      <c r="G48">
        <f t="shared" ref="G48:H48" si="0">AVERAGE(D2:D5)</f>
        <v>6.9725000000000001</v>
      </c>
      <c r="H48">
        <f t="shared" si="0"/>
        <v>4.9649999999999999</v>
      </c>
    </row>
    <row r="49" spans="1:8" x14ac:dyDescent="0.35">
      <c r="A49" s="164" t="s">
        <v>10</v>
      </c>
      <c r="B49" s="164"/>
      <c r="C49" s="164"/>
      <c r="D49" s="164"/>
      <c r="E49" s="164"/>
      <c r="F49">
        <f>AVERAGE(C6:C9)</f>
        <v>6.5550000000000006</v>
      </c>
      <c r="G49">
        <f t="shared" ref="G49:H49" si="1">AVERAGE(D6:D9)</f>
        <v>5.6625000000000005</v>
      </c>
      <c r="H49">
        <f t="shared" si="1"/>
        <v>3.2625000000000002</v>
      </c>
    </row>
    <row r="50" spans="1:8" x14ac:dyDescent="0.35">
      <c r="A50" s="166" t="s">
        <v>12</v>
      </c>
      <c r="B50" s="166"/>
      <c r="C50" s="166"/>
      <c r="D50" s="166"/>
      <c r="E50" s="166"/>
      <c r="F50">
        <f>AVERAGE(C10:C13)</f>
        <v>2.8849999999999998</v>
      </c>
      <c r="G50">
        <f t="shared" ref="G50:H50" si="2">AVERAGE(D10:D13)</f>
        <v>3.3325</v>
      </c>
      <c r="H50">
        <f t="shared" si="2"/>
        <v>3.1825000000000001</v>
      </c>
    </row>
    <row r="51" spans="1:8" x14ac:dyDescent="0.35">
      <c r="A51" s="169" t="s">
        <v>13</v>
      </c>
      <c r="B51" s="169"/>
      <c r="C51" s="169"/>
      <c r="D51" s="169"/>
      <c r="E51" s="169"/>
      <c r="F51">
        <f>AVERAGE(C15:C17)</f>
        <v>6.6133333333333333</v>
      </c>
      <c r="G51">
        <f>AVERAGE(D15:D17)</f>
        <v>3.6933333333333334</v>
      </c>
      <c r="H51">
        <f>AVERAGE(E15:E17)</f>
        <v>2.9833333333333329</v>
      </c>
    </row>
    <row r="52" spans="1:8" x14ac:dyDescent="0.35">
      <c r="A52" s="168" t="s">
        <v>15</v>
      </c>
      <c r="B52" s="168"/>
      <c r="C52" s="168"/>
      <c r="D52" s="168"/>
      <c r="E52" s="168"/>
      <c r="F52">
        <f>AVERAGE(C18:C21)</f>
        <v>5.9474999999999998</v>
      </c>
      <c r="G52">
        <f t="shared" ref="G52:H52" si="3">AVERAGE(D18:D21)</f>
        <v>2.6974999999999998</v>
      </c>
      <c r="H52">
        <f t="shared" si="3"/>
        <v>2.63</v>
      </c>
    </row>
  </sheetData>
  <mergeCells count="20">
    <mergeCell ref="A48:E48"/>
    <mergeCell ref="A49:E49"/>
    <mergeCell ref="A50:E50"/>
    <mergeCell ref="A51:E51"/>
    <mergeCell ref="A52:E52"/>
    <mergeCell ref="A29:E29"/>
    <mergeCell ref="G8:G9"/>
    <mergeCell ref="G10:G11"/>
    <mergeCell ref="G12:G13"/>
    <mergeCell ref="G14:G15"/>
    <mergeCell ref="A28:E28"/>
    <mergeCell ref="G2:G3"/>
    <mergeCell ref="A25:E25"/>
    <mergeCell ref="A26:E26"/>
    <mergeCell ref="G4:G5"/>
    <mergeCell ref="A27:E27"/>
    <mergeCell ref="G16:G17"/>
    <mergeCell ref="G18:G19"/>
    <mergeCell ref="G20:G21"/>
    <mergeCell ref="G6:G7"/>
  </mergeCells>
  <pageMargins left="0.7" right="0.7" top="0.75" bottom="0.75" header="0.3" footer="0.3"/>
  <pageSetup fitToWidth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Selected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Vasco</dc:creator>
  <cp:lastModifiedBy>Gonçalo Cosme</cp:lastModifiedBy>
  <dcterms:created xsi:type="dcterms:W3CDTF">2017-11-06T17:47:10Z</dcterms:created>
  <dcterms:modified xsi:type="dcterms:W3CDTF">2021-11-15T17:32:12Z</dcterms:modified>
</cp:coreProperties>
</file>